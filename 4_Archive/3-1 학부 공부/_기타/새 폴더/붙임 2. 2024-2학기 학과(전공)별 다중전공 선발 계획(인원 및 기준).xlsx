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최영호\★2024학년도\240624 2024-2학기 다중전공(복수ㆍ연계ㆍ융합ㆍ부전공) 신청 및 포기 안내\"/>
    </mc:Choice>
  </mc:AlternateContent>
  <bookViews>
    <workbookView xWindow="0" yWindow="0" windowWidth="28800" windowHeight="11925"/>
  </bookViews>
  <sheets>
    <sheet name="2024-2학기 학과(전공)별 다중전공 선발 계획" sheetId="6" r:id="rId1"/>
  </sheets>
  <definedNames>
    <definedName name="_xlnm._FilterDatabase" localSheetId="0" hidden="1">'2024-2학기 학과(전공)별 다중전공 선발 계획'!$A$4:$AB$6</definedName>
    <definedName name="_xlnm.Print_Area" localSheetId="0">'2024-2학기 학과(전공)별 다중전공 선발 계획'!$A$1:$AB$123</definedName>
    <definedName name="_xlnm.Print_Titles" localSheetId="0">'2024-2학기 학과(전공)별 다중전공 선발 계획'!$1:$6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0" i="6" l="1"/>
  <c r="Z15" i="6" l="1"/>
  <c r="Z18" i="6"/>
  <c r="Z33" i="6"/>
  <c r="Z34" i="6"/>
  <c r="Z35" i="6"/>
  <c r="Z50" i="6"/>
  <c r="Z59" i="6"/>
  <c r="Z67" i="6"/>
  <c r="T10" i="6"/>
  <c r="T12" i="6"/>
  <c r="T22" i="6"/>
  <c r="T23" i="6"/>
  <c r="T24" i="6"/>
  <c r="T25" i="6"/>
  <c r="T26" i="6"/>
  <c r="T35" i="6"/>
  <c r="T38" i="6"/>
  <c r="T39" i="6"/>
  <c r="T40" i="6"/>
  <c r="T42" i="6"/>
  <c r="T45" i="6"/>
  <c r="T47" i="6"/>
  <c r="T48" i="6"/>
  <c r="T49" i="6"/>
  <c r="T50" i="6"/>
  <c r="T52" i="6"/>
  <c r="T53" i="6"/>
  <c r="T55" i="6"/>
  <c r="T57" i="6"/>
  <c r="T59" i="6"/>
  <c r="T63" i="6"/>
  <c r="T67" i="6"/>
  <c r="T70" i="6"/>
  <c r="T72" i="6"/>
  <c r="T75" i="6"/>
  <c r="T76" i="6"/>
  <c r="T77" i="6"/>
  <c r="T81" i="6"/>
  <c r="T88" i="6"/>
  <c r="T91" i="6"/>
  <c r="T97" i="6"/>
  <c r="T98" i="6"/>
  <c r="T99" i="6"/>
  <c r="T100" i="6"/>
  <c r="T105" i="6"/>
  <c r="T111" i="6"/>
  <c r="T112" i="6"/>
  <c r="T116" i="6"/>
  <c r="T119" i="6"/>
  <c r="T120" i="6"/>
  <c r="T121" i="6"/>
  <c r="T122" i="6"/>
  <c r="T123" i="6"/>
  <c r="N8" i="6"/>
  <c r="N9" i="6"/>
  <c r="N11" i="6"/>
  <c r="N13" i="6"/>
  <c r="N14" i="6"/>
  <c r="N15" i="6"/>
  <c r="N16" i="6"/>
  <c r="N17" i="6"/>
  <c r="N18" i="6"/>
  <c r="N19" i="6"/>
  <c r="N20" i="6"/>
  <c r="N21" i="6"/>
  <c r="N27" i="6"/>
  <c r="N28" i="6"/>
  <c r="N29" i="6"/>
  <c r="N30" i="6"/>
  <c r="N31" i="6"/>
  <c r="N32" i="6"/>
  <c r="N33" i="6"/>
  <c r="N34" i="6"/>
  <c r="N35" i="6"/>
  <c r="N36" i="6"/>
  <c r="N37" i="6"/>
  <c r="N41" i="6"/>
  <c r="N43" i="6"/>
  <c r="N44" i="6"/>
  <c r="N46" i="6"/>
  <c r="N50" i="6"/>
  <c r="N51" i="6"/>
  <c r="N54" i="6"/>
  <c r="N56" i="6"/>
  <c r="N58" i="6"/>
  <c r="N59" i="6"/>
  <c r="N67" i="6"/>
  <c r="N68" i="6"/>
  <c r="N69" i="6"/>
  <c r="N71" i="6"/>
  <c r="N73" i="6"/>
  <c r="N74" i="6"/>
  <c r="N78" i="6"/>
  <c r="N79" i="6"/>
  <c r="N80" i="6"/>
  <c r="N81" i="6"/>
  <c r="N82" i="6"/>
  <c r="N83" i="6"/>
  <c r="N84" i="6"/>
  <c r="N85" i="6"/>
  <c r="N86" i="6"/>
  <c r="N87" i="6"/>
  <c r="N89" i="6"/>
  <c r="N90" i="6"/>
  <c r="N91" i="6"/>
  <c r="N92" i="6"/>
  <c r="N93" i="6"/>
  <c r="N94" i="6"/>
  <c r="N95" i="6"/>
  <c r="N96" i="6"/>
  <c r="N100" i="6"/>
  <c r="N101" i="6"/>
  <c r="N102" i="6"/>
  <c r="N103" i="6"/>
  <c r="N104" i="6"/>
  <c r="N105" i="6"/>
  <c r="N106" i="6"/>
  <c r="N107" i="6"/>
  <c r="N108" i="6"/>
  <c r="N109" i="6"/>
  <c r="N110" i="6"/>
  <c r="N112" i="6"/>
  <c r="N113" i="6"/>
  <c r="N114" i="6"/>
  <c r="N115" i="6"/>
  <c r="N116" i="6"/>
  <c r="N117" i="6"/>
  <c r="N118" i="6"/>
  <c r="N121" i="6"/>
  <c r="N123" i="6"/>
  <c r="G8" i="6"/>
  <c r="G9" i="6"/>
  <c r="G11" i="6"/>
  <c r="G13" i="6"/>
  <c r="G14" i="6"/>
  <c r="G15" i="6"/>
  <c r="G16" i="6"/>
  <c r="G17" i="6"/>
  <c r="G18" i="6"/>
  <c r="G19" i="6"/>
  <c r="G20" i="6"/>
  <c r="G21" i="6"/>
  <c r="G27" i="6"/>
  <c r="G28" i="6"/>
  <c r="G29" i="6"/>
  <c r="G30" i="6"/>
  <c r="G31" i="6"/>
  <c r="G32" i="6"/>
  <c r="G35" i="6"/>
  <c r="G36" i="6"/>
  <c r="G37" i="6"/>
  <c r="G41" i="6"/>
  <c r="G43" i="6"/>
  <c r="G44" i="6"/>
  <c r="G46" i="6"/>
  <c r="G50" i="6"/>
  <c r="G51" i="6"/>
  <c r="G54" i="6"/>
  <c r="G56" i="6"/>
  <c r="G58" i="6"/>
  <c r="G59" i="6"/>
  <c r="G60" i="6"/>
  <c r="G61" i="6"/>
  <c r="G62" i="6"/>
  <c r="G64" i="6"/>
  <c r="G65" i="6"/>
  <c r="G66" i="6"/>
  <c r="G67" i="6"/>
  <c r="G68" i="6"/>
  <c r="G69" i="6"/>
  <c r="G71" i="6"/>
  <c r="G73" i="6"/>
  <c r="G74" i="6"/>
  <c r="G78" i="6"/>
  <c r="G79" i="6"/>
  <c r="G81" i="6"/>
  <c r="G82" i="6"/>
  <c r="G83" i="6"/>
  <c r="G84" i="6"/>
  <c r="G85" i="6"/>
  <c r="G86" i="6"/>
  <c r="G87" i="6"/>
  <c r="G89" i="6"/>
  <c r="G90" i="6"/>
  <c r="G91" i="6"/>
  <c r="G92" i="6"/>
  <c r="G93" i="6"/>
  <c r="G94" i="6"/>
  <c r="G95" i="6"/>
  <c r="G96" i="6"/>
  <c r="G100" i="6"/>
  <c r="G101" i="6"/>
  <c r="G102" i="6"/>
  <c r="G103" i="6"/>
  <c r="G104" i="6"/>
  <c r="G105" i="6"/>
  <c r="G106" i="6"/>
  <c r="G107" i="6"/>
  <c r="G108" i="6"/>
  <c r="G109" i="6"/>
  <c r="G112" i="6"/>
  <c r="G113" i="6"/>
  <c r="G114" i="6"/>
  <c r="G115" i="6"/>
  <c r="G116" i="6"/>
  <c r="G117" i="6"/>
  <c r="G118" i="6"/>
  <c r="G121" i="6"/>
  <c r="G123" i="6"/>
  <c r="AA100" i="6" l="1"/>
  <c r="Y100" i="6"/>
  <c r="X100" i="6"/>
  <c r="U100" i="6"/>
  <c r="S100" i="6"/>
  <c r="R100" i="6"/>
  <c r="Q100" i="6"/>
  <c r="O100" i="6"/>
  <c r="M100" i="6"/>
  <c r="L100" i="6"/>
  <c r="K100" i="6"/>
  <c r="H100" i="6"/>
  <c r="F100" i="6"/>
  <c r="E100" i="6"/>
  <c r="D100" i="6"/>
  <c r="J95" i="6"/>
  <c r="Z100" i="6" l="1"/>
  <c r="AA112" i="6"/>
  <c r="Y112" i="6"/>
  <c r="X112" i="6"/>
  <c r="U112" i="6"/>
  <c r="S112" i="6"/>
  <c r="R112" i="6"/>
  <c r="Q112" i="6"/>
  <c r="O112" i="6"/>
  <c r="M112" i="6"/>
  <c r="L112" i="6"/>
  <c r="K112" i="6"/>
  <c r="H112" i="6"/>
  <c r="F112" i="6"/>
  <c r="E112" i="6"/>
  <c r="D112" i="6"/>
  <c r="Z112" i="6" l="1"/>
  <c r="AA50" i="6" l="1"/>
  <c r="Y50" i="6"/>
  <c r="X50" i="6"/>
  <c r="U50" i="6"/>
  <c r="S50" i="6"/>
  <c r="R50" i="6"/>
  <c r="Q50" i="6"/>
  <c r="O50" i="6"/>
  <c r="M50" i="6"/>
  <c r="L50" i="6"/>
  <c r="K50" i="6"/>
  <c r="H50" i="6"/>
  <c r="F50" i="6"/>
  <c r="E50" i="6"/>
  <c r="D50" i="6"/>
  <c r="J46" i="6"/>
  <c r="J44" i="6"/>
  <c r="J43" i="6"/>
  <c r="J41" i="6"/>
  <c r="J37" i="6"/>
  <c r="J36" i="6"/>
  <c r="AA81" i="6" l="1"/>
  <c r="Y81" i="6"/>
  <c r="X81" i="6"/>
  <c r="W81" i="6"/>
  <c r="U81" i="6"/>
  <c r="S81" i="6"/>
  <c r="R81" i="6"/>
  <c r="Q81" i="6"/>
  <c r="O81" i="6"/>
  <c r="M81" i="6"/>
  <c r="L81" i="6"/>
  <c r="K81" i="6"/>
  <c r="H81" i="6"/>
  <c r="F81" i="6"/>
  <c r="E81" i="6"/>
  <c r="D81" i="6"/>
  <c r="Z80" i="6"/>
  <c r="J79" i="6"/>
  <c r="J78" i="6"/>
  <c r="J74" i="6"/>
  <c r="J73" i="6"/>
  <c r="J71" i="6"/>
  <c r="J69" i="6"/>
  <c r="J68" i="6"/>
  <c r="Z81" i="6" l="1"/>
  <c r="AA67" i="6"/>
  <c r="Y67" i="6"/>
  <c r="X67" i="6"/>
  <c r="W67" i="6"/>
  <c r="U67" i="6"/>
  <c r="S67" i="6"/>
  <c r="R67" i="6"/>
  <c r="Q67" i="6"/>
  <c r="O67" i="6"/>
  <c r="M67" i="6"/>
  <c r="L67" i="6"/>
  <c r="K67" i="6"/>
  <c r="H67" i="6"/>
  <c r="F67" i="6"/>
  <c r="E67" i="6"/>
  <c r="D67" i="6"/>
  <c r="J118" i="6" l="1"/>
  <c r="J117" i="6"/>
  <c r="AA116" i="6" l="1"/>
  <c r="Y116" i="6"/>
  <c r="X116" i="6"/>
  <c r="W116" i="6"/>
  <c r="U116" i="6"/>
  <c r="S116" i="6"/>
  <c r="R116" i="6"/>
  <c r="Q116" i="6"/>
  <c r="O116" i="6"/>
  <c r="M116" i="6"/>
  <c r="L116" i="6"/>
  <c r="K116" i="6"/>
  <c r="H116" i="6"/>
  <c r="F116" i="6"/>
  <c r="E116" i="6"/>
  <c r="D116" i="6"/>
  <c r="Z116" i="6" l="1"/>
  <c r="AA105" i="6"/>
  <c r="Y105" i="6"/>
  <c r="X105" i="6"/>
  <c r="U105" i="6"/>
  <c r="S105" i="6"/>
  <c r="R105" i="6"/>
  <c r="O105" i="6"/>
  <c r="M105" i="6"/>
  <c r="L105" i="6"/>
  <c r="K105" i="6"/>
  <c r="H105" i="6"/>
  <c r="F105" i="6"/>
  <c r="E105" i="6"/>
  <c r="D105" i="6"/>
  <c r="J104" i="6"/>
  <c r="J103" i="6"/>
  <c r="J102" i="6"/>
  <c r="J101" i="6"/>
  <c r="Z105" i="6" l="1"/>
  <c r="AA91" i="6" l="1"/>
  <c r="Y91" i="6"/>
  <c r="X91" i="6"/>
  <c r="Z91" i="6" s="1"/>
  <c r="U91" i="6"/>
  <c r="S91" i="6"/>
  <c r="R91" i="6"/>
  <c r="Q91" i="6"/>
  <c r="O91" i="6"/>
  <c r="M91" i="6"/>
  <c r="L91" i="6"/>
  <c r="K91" i="6"/>
  <c r="H91" i="6"/>
  <c r="F91" i="6"/>
  <c r="E91" i="6"/>
  <c r="D91" i="6"/>
  <c r="J89" i="6"/>
  <c r="J84" i="6"/>
  <c r="AA123" i="6" l="1"/>
  <c r="AA121" i="6"/>
  <c r="AA59" i="6"/>
  <c r="AA35" i="6"/>
  <c r="U123" i="6"/>
  <c r="U121" i="6"/>
  <c r="U59" i="6"/>
  <c r="U35" i="6"/>
  <c r="O123" i="6"/>
  <c r="O121" i="6"/>
  <c r="O59" i="6"/>
  <c r="O35" i="6"/>
  <c r="H123" i="6"/>
  <c r="H121" i="6"/>
  <c r="H59" i="6"/>
  <c r="H35" i="6"/>
  <c r="O7" i="6" l="1"/>
  <c r="AA7" i="6"/>
  <c r="U7" i="6"/>
  <c r="H7" i="6"/>
  <c r="Y123" i="6"/>
  <c r="X123" i="6"/>
  <c r="W123" i="6"/>
  <c r="S123" i="6"/>
  <c r="R123" i="6"/>
  <c r="Q123" i="6"/>
  <c r="M123" i="6"/>
  <c r="L123" i="6"/>
  <c r="K123" i="6"/>
  <c r="F123" i="6"/>
  <c r="J123" i="6" s="1"/>
  <c r="E123" i="6"/>
  <c r="D123" i="6"/>
  <c r="Y121" i="6"/>
  <c r="X121" i="6"/>
  <c r="W121" i="6"/>
  <c r="S121" i="6"/>
  <c r="R121" i="6"/>
  <c r="Q121" i="6"/>
  <c r="M121" i="6"/>
  <c r="L121" i="6"/>
  <c r="K121" i="6"/>
  <c r="F121" i="6"/>
  <c r="E121" i="6"/>
  <c r="D121" i="6"/>
  <c r="C121" i="6"/>
  <c r="C116" i="6"/>
  <c r="J116" i="6" s="1"/>
  <c r="C112" i="6"/>
  <c r="J112" i="6" s="1"/>
  <c r="C105" i="6"/>
  <c r="J105" i="6" s="1"/>
  <c r="C100" i="6"/>
  <c r="J100" i="6" s="1"/>
  <c r="C91" i="6"/>
  <c r="J91" i="6" s="1"/>
  <c r="C81" i="6"/>
  <c r="J81" i="6" s="1"/>
  <c r="C67" i="6"/>
  <c r="J67" i="6" s="1"/>
  <c r="Y59" i="6"/>
  <c r="X59" i="6"/>
  <c r="W59" i="6"/>
  <c r="S59" i="6"/>
  <c r="R59" i="6"/>
  <c r="Q59" i="6"/>
  <c r="M59" i="6"/>
  <c r="L59" i="6"/>
  <c r="K59" i="6"/>
  <c r="F59" i="6"/>
  <c r="E59" i="6"/>
  <c r="D59" i="6"/>
  <c r="C59" i="6"/>
  <c r="C50" i="6"/>
  <c r="J50" i="6" s="1"/>
  <c r="Y35" i="6"/>
  <c r="X35" i="6"/>
  <c r="W35" i="6"/>
  <c r="S35" i="6"/>
  <c r="R35" i="6"/>
  <c r="Q35" i="6"/>
  <c r="M35" i="6"/>
  <c r="L35" i="6"/>
  <c r="K35" i="6"/>
  <c r="F35" i="6"/>
  <c r="E35" i="6"/>
  <c r="D35" i="6"/>
  <c r="C35" i="6"/>
  <c r="J32" i="6"/>
  <c r="J31" i="6"/>
  <c r="J30" i="6"/>
  <c r="J29" i="6"/>
  <c r="J28" i="6"/>
  <c r="J27" i="6"/>
  <c r="J21" i="6"/>
  <c r="J20" i="6"/>
  <c r="J19" i="6"/>
  <c r="J17" i="6"/>
  <c r="J16" i="6"/>
  <c r="J14" i="6"/>
  <c r="J13" i="6"/>
  <c r="J11" i="6"/>
  <c r="J9" i="6"/>
  <c r="J8" i="6"/>
  <c r="J35" i="6" l="1"/>
  <c r="X7" i="6"/>
  <c r="S7" i="6"/>
  <c r="W7" i="6"/>
  <c r="Y7" i="6"/>
  <c r="Z7" i="6" s="1"/>
  <c r="Z123" i="6"/>
  <c r="J121" i="6"/>
  <c r="M7" i="6"/>
  <c r="R7" i="6"/>
  <c r="E7" i="6"/>
  <c r="Q7" i="6"/>
  <c r="K7" i="6"/>
  <c r="C7" i="6"/>
  <c r="D7" i="6"/>
  <c r="Z121" i="6"/>
  <c r="L7" i="6"/>
  <c r="F7" i="6"/>
  <c r="J59" i="6"/>
  <c r="T7" i="6" l="1"/>
  <c r="G7" i="6"/>
  <c r="N7" i="6"/>
  <c r="J7" i="6"/>
</calcChain>
</file>

<file path=xl/sharedStrings.xml><?xml version="1.0" encoding="utf-8"?>
<sst xmlns="http://schemas.openxmlformats.org/spreadsheetml/2006/main" count="1967" uniqueCount="196">
  <si>
    <t>해양과학과</t>
  </si>
  <si>
    <t>공과대학</t>
  </si>
  <si>
    <t>정치외교학과</t>
  </si>
  <si>
    <t>경영대학</t>
  </si>
  <si>
    <t>국제통상학과</t>
  </si>
  <si>
    <t>자연과학대학</t>
  </si>
  <si>
    <t>식품영양학과</t>
  </si>
  <si>
    <t>프랑스언어문화학과</t>
  </si>
  <si>
    <t>소비자학과</t>
  </si>
  <si>
    <t>물리학과</t>
  </si>
  <si>
    <t>수학과</t>
  </si>
  <si>
    <t>경영학과</t>
  </si>
  <si>
    <t>문과대학</t>
  </si>
  <si>
    <t>일본언어문화학과</t>
  </si>
  <si>
    <t>화학공학과</t>
  </si>
  <si>
    <t>교육학과</t>
  </si>
  <si>
    <t>사범대학</t>
  </si>
  <si>
    <t>사회교육과</t>
  </si>
  <si>
    <t>체육교육과</t>
  </si>
  <si>
    <t>기계공학과</t>
  </si>
  <si>
    <t>통계학과</t>
  </si>
  <si>
    <t>영어영문학과</t>
  </si>
  <si>
    <t>화학과</t>
  </si>
  <si>
    <t>신소재공학과</t>
  </si>
  <si>
    <t>행정학과</t>
  </si>
  <si>
    <t>생명공학과</t>
  </si>
  <si>
    <t>생명과학과</t>
  </si>
  <si>
    <t>수학교육과</t>
  </si>
  <si>
    <t>산업경영공학과</t>
  </si>
  <si>
    <t>경제학과</t>
  </si>
  <si>
    <t>에너지자원공학과</t>
  </si>
  <si>
    <t>연극영화학과</t>
  </si>
  <si>
    <t>사학과</t>
  </si>
  <si>
    <t>전자공학과</t>
  </si>
  <si>
    <t>스포츠과학과</t>
  </si>
  <si>
    <t>글로벌금융학과</t>
  </si>
  <si>
    <t>조선해양공학과</t>
  </si>
  <si>
    <t>전기공학과</t>
  </si>
  <si>
    <t>의류디자인학과</t>
  </si>
  <si>
    <t>영어교육과</t>
  </si>
  <si>
    <t>환경공학과</t>
  </si>
  <si>
    <t>국어교육과</t>
  </si>
  <si>
    <t>조형예술학과</t>
  </si>
  <si>
    <t>정보통신공학과</t>
  </si>
  <si>
    <t>철학과</t>
  </si>
  <si>
    <t>단과대학</t>
    <phoneticPr fontId="9" type="noConversion"/>
  </si>
  <si>
    <t>복수전공</t>
    <phoneticPr fontId="9" type="noConversion"/>
  </si>
  <si>
    <t>부전공</t>
    <phoneticPr fontId="9" type="noConversion"/>
  </si>
  <si>
    <t>연계전공</t>
    <phoneticPr fontId="9" type="noConversion"/>
  </si>
  <si>
    <t>융합전공</t>
    <phoneticPr fontId="9" type="noConversion"/>
  </si>
  <si>
    <t>평점평균 3.0 이상/성적순</t>
    <phoneticPr fontId="9" type="noConversion"/>
  </si>
  <si>
    <t>-</t>
  </si>
  <si>
    <t>항공우주공학과</t>
    <phoneticPr fontId="9" type="noConversion"/>
  </si>
  <si>
    <t>평점평균 3.5 이상/성적순</t>
  </si>
  <si>
    <t>-</t>
    <phoneticPr fontId="9" type="noConversion"/>
  </si>
  <si>
    <t>항공우주공학과(항공전자)</t>
    <phoneticPr fontId="9" type="noConversion"/>
  </si>
  <si>
    <t>조선해양공학과(해양플랜트특성화)</t>
  </si>
  <si>
    <t>평점평균 4.0 이상/성적순</t>
  </si>
  <si>
    <t>평점평균 3.5 이상/성적순</t>
    <phoneticPr fontId="9" type="noConversion"/>
  </si>
  <si>
    <t>화학,물리학,수학 이수
평점평균 3.5 이상/성적순</t>
    <phoneticPr fontId="9" type="noConversion"/>
  </si>
  <si>
    <t>화학공학과(이차전지공학)</t>
    <phoneticPr fontId="3" type="noConversion"/>
  </si>
  <si>
    <t>고분자공학과</t>
    <phoneticPr fontId="9" type="noConversion"/>
  </si>
  <si>
    <t>평점평균 3.0 이상/성적순</t>
  </si>
  <si>
    <t>신소재공학과(반도체공학)</t>
    <phoneticPr fontId="3" type="noConversion"/>
  </si>
  <si>
    <t>사회인프라공학과</t>
    <phoneticPr fontId="9" type="noConversion"/>
  </si>
  <si>
    <t>신청자 전원 선발</t>
  </si>
  <si>
    <t>평점평균 2.0 이상/성적순</t>
    <phoneticPr fontId="9" type="noConversion"/>
  </si>
  <si>
    <t>공간정보공학과</t>
    <phoneticPr fontId="9" type="noConversion"/>
  </si>
  <si>
    <t>평점평균 2.5 이상/성적순</t>
    <phoneticPr fontId="9" type="noConversion"/>
  </si>
  <si>
    <t>공간정보공학과(공간정보비즈니스)</t>
  </si>
  <si>
    <t>공간정보공학과(행정공간정보)</t>
  </si>
  <si>
    <t>공간정보공학과(물류공간정보)</t>
  </si>
  <si>
    <t>공간정보공학과(위치기반IT)</t>
  </si>
  <si>
    <t>평점평균 2.5 이상 /성적순</t>
    <phoneticPr fontId="9" type="noConversion"/>
  </si>
  <si>
    <t>공간정보공학과(해양공간정보공학)</t>
    <phoneticPr fontId="9" type="noConversion"/>
  </si>
  <si>
    <t>건축학부 건축공학전공</t>
    <phoneticPr fontId="9" type="noConversion"/>
  </si>
  <si>
    <t>건축학부 건축학전공</t>
    <phoneticPr fontId="9" type="noConversion"/>
  </si>
  <si>
    <t>평점평균 2.0 이상/성적순
※ 인증조건 안내로 인해 신청 전
건축학 사무실 문의 필수</t>
    <phoneticPr fontId="3" type="noConversion"/>
  </si>
  <si>
    <t>평점평균/성적순</t>
    <phoneticPr fontId="9" type="noConversion"/>
  </si>
  <si>
    <t>소계</t>
    <phoneticPr fontId="9" type="noConversion"/>
  </si>
  <si>
    <t>직전 학기 학사경고자 제외
평점평균/성적순</t>
  </si>
  <si>
    <t>평점평균 3.2이상/성적순</t>
  </si>
  <si>
    <t>통계학과(금융분석)</t>
  </si>
  <si>
    <t>통계학과(정보분석)</t>
  </si>
  <si>
    <t>통계학과(빅데이터분석)</t>
  </si>
  <si>
    <t>물리학과(광정보통신)</t>
  </si>
  <si>
    <t>평점평균 2.0 이상/성적순</t>
  </si>
  <si>
    <t>생명과학과(생물정보학)</t>
  </si>
  <si>
    <t>생명과학과(자연환경관리학)</t>
  </si>
  <si>
    <t>해양과학과(해양자원공학)</t>
  </si>
  <si>
    <t>식품영양학과(외식산업경영)</t>
  </si>
  <si>
    <t>식품영양학과(체형관리)</t>
  </si>
  <si>
    <t>식품영양학과(바이오영양식품학)</t>
  </si>
  <si>
    <t>소계</t>
  </si>
  <si>
    <t>경영학과(IT경영학)</t>
  </si>
  <si>
    <t>경영학과(글로벌앙트러프러너십)</t>
  </si>
  <si>
    <t>글로벌금융학과(금융공학)</t>
  </si>
  <si>
    <t>평점평균 3.2 이상/성적순</t>
  </si>
  <si>
    <t>평점평균/성적순</t>
  </si>
  <si>
    <t>평점평균 3.0이상/성적순</t>
  </si>
  <si>
    <t>평점평균 3.5 이상, 실기, 면접</t>
  </si>
  <si>
    <t>사회과학대학</t>
    <phoneticPr fontId="9" type="noConversion"/>
  </si>
  <si>
    <t>정치외교학과(국제지역학)</t>
  </si>
  <si>
    <t>소비자학과(고객관리)</t>
  </si>
  <si>
    <t>소비자학과(소비문화콘텐츠)</t>
  </si>
  <si>
    <t>소비자학과(중국소비자학)</t>
  </si>
  <si>
    <t>평점평균 2.5 이상/성적순</t>
  </si>
  <si>
    <t>평점평균 2.4 이상/성적순</t>
  </si>
  <si>
    <t>영어영문학과(영미통상)</t>
  </si>
  <si>
    <t>평점평균 3.6 이상/성적순</t>
  </si>
  <si>
    <t>예술체육대학</t>
    <phoneticPr fontId="9" type="noConversion"/>
  </si>
  <si>
    <t>평점평균 3.65 이상/성적순</t>
  </si>
  <si>
    <t>평점평균 2.5 이상, 
자기소개서,포트폴리오, 면접실기</t>
  </si>
  <si>
    <t>의류디자인학과(패션비즈니스)</t>
  </si>
  <si>
    <t>의류디자인학과(무대의상디자인)</t>
  </si>
  <si>
    <t>의류디자인학과(패션그래픽디자인)</t>
  </si>
  <si>
    <t>미래융합대학</t>
    <phoneticPr fontId="9" type="noConversion"/>
  </si>
  <si>
    <t>소프트웨어융합대학</t>
    <phoneticPr fontId="9" type="noConversion"/>
  </si>
  <si>
    <t>평점평균 3,5 이상, 면접</t>
  </si>
  <si>
    <t>국제학부</t>
    <phoneticPr fontId="9" type="noConversion"/>
  </si>
  <si>
    <t>평점평균 2.5 이상 / 성적순</t>
  </si>
  <si>
    <t>법학전문대학원</t>
    <phoneticPr fontId="9" type="noConversion"/>
  </si>
  <si>
    <t>(공공인재학)</t>
    <phoneticPr fontId="9" type="noConversion"/>
  </si>
  <si>
    <t>주관학과(기관)</t>
    <phoneticPr fontId="9" type="noConversion"/>
  </si>
  <si>
    <t>선발기준
(기준 변경 시 파란색 표시)</t>
    <phoneticPr fontId="9" type="noConversion"/>
  </si>
  <si>
    <t>연간
정원대비
선발률</t>
    <phoneticPr fontId="9" type="noConversion"/>
  </si>
  <si>
    <t>평점평균 4.0 이상/성적순</t>
    <phoneticPr fontId="9" type="noConversion"/>
  </si>
  <si>
    <t>평점평균/성적, 면접
추후 부전공에서 융합전공으로 변경 신청을 받을 예정임.</t>
  </si>
  <si>
    <t>평점평균 2.5이상/성적순</t>
    <phoneticPr fontId="9" type="noConversion"/>
  </si>
  <si>
    <t>아태물류학부</t>
    <phoneticPr fontId="9" type="noConversion"/>
  </si>
  <si>
    <t>아태물류학부(IT물류)</t>
    <phoneticPr fontId="9" type="noConversion"/>
  </si>
  <si>
    <t>미디어커뮤니케이션학과</t>
    <phoneticPr fontId="9" type="noConversion"/>
  </si>
  <si>
    <t>미디어커뮤니케이션학과(멀티미디어)</t>
    <phoneticPr fontId="9" type="noConversion"/>
  </si>
  <si>
    <t>아동심리학과</t>
    <phoneticPr fontId="9" type="noConversion"/>
  </si>
  <si>
    <t>사회복지학과</t>
    <phoneticPr fontId="9" type="noConversion"/>
  </si>
  <si>
    <t>평점평균 2.4 이상/성적순</t>
    <phoneticPr fontId="9" type="noConversion"/>
  </si>
  <si>
    <t>중국학과</t>
    <phoneticPr fontId="9" type="noConversion"/>
  </si>
  <si>
    <t>문화콘텐츠문화경영학과</t>
    <phoneticPr fontId="9" type="noConversion"/>
  </si>
  <si>
    <t>디자인융합학과</t>
    <phoneticPr fontId="9" type="noConversion"/>
  </si>
  <si>
    <t>메카트로닉스공학과</t>
    <phoneticPr fontId="9" type="noConversion"/>
  </si>
  <si>
    <t>소프트웨어융합공학과</t>
    <phoneticPr fontId="9" type="noConversion"/>
  </si>
  <si>
    <t>산업경영학과</t>
    <phoneticPr fontId="9" type="noConversion"/>
  </si>
  <si>
    <t>금융투자학과</t>
    <phoneticPr fontId="9" type="noConversion"/>
  </si>
  <si>
    <t>인공지능공학과</t>
    <phoneticPr fontId="9" type="noConversion"/>
  </si>
  <si>
    <t>데이터사이언스학과</t>
    <phoneticPr fontId="9" type="noConversion"/>
  </si>
  <si>
    <t>스마트모빌리티공학과</t>
    <phoneticPr fontId="9" type="noConversion"/>
  </si>
  <si>
    <t>디자인테크놀로지학과</t>
    <phoneticPr fontId="9" type="noConversion"/>
  </si>
  <si>
    <t>컴퓨터공학과</t>
    <phoneticPr fontId="9" type="noConversion"/>
  </si>
  <si>
    <t>(소프트웨어융합공학)</t>
    <phoneticPr fontId="9" type="noConversion"/>
  </si>
  <si>
    <t>IBT학과(국제경영학)</t>
    <phoneticPr fontId="9" type="noConversion"/>
  </si>
  <si>
    <t>ISE학과(융합시스템공학)</t>
    <phoneticPr fontId="9" type="noConversion"/>
  </si>
  <si>
    <t>KLC학과(국제한국언어문화학)</t>
    <phoneticPr fontId="9" type="noConversion"/>
  </si>
  <si>
    <t>2023학년도 입학정원</t>
    <phoneticPr fontId="9" type="noConversion"/>
  </si>
  <si>
    <t>2024-1학기</t>
  </si>
  <si>
    <t>선발계획 인원</t>
    <phoneticPr fontId="9" type="noConversion"/>
  </si>
  <si>
    <t>신청인원(A)</t>
    <phoneticPr fontId="9" type="noConversion"/>
  </si>
  <si>
    <t>선발인원(B)</t>
    <phoneticPr fontId="9" type="noConversion"/>
  </si>
  <si>
    <t>선발률[(B)/(A)]</t>
    <phoneticPr fontId="9" type="noConversion"/>
  </si>
  <si>
    <t>선발계획 인원</t>
  </si>
  <si>
    <t>신청인원(A)</t>
  </si>
  <si>
    <t>선발인원(B)</t>
  </si>
  <si>
    <t>선발률[(B)/(A)]</t>
  </si>
  <si>
    <t>합 계</t>
    <phoneticPr fontId="9" type="noConversion"/>
  </si>
  <si>
    <t>평점평균/성적, 면접
추후 부전공에서 융합전공으로 변경 신청을 받을 예정임.</t>
    <phoneticPr fontId="9" type="noConversion"/>
  </si>
  <si>
    <t>평점평균 3.0 이상/성적순, 사업단 내규 선발</t>
    <phoneticPr fontId="9" type="noConversion"/>
  </si>
  <si>
    <t>평점평균 2.0 이상/성적순
※ 인증조건 안내로 인해 신청 전 건축학과 사무실 문의 필수</t>
    <phoneticPr fontId="9" type="noConversion"/>
  </si>
  <si>
    <t>정보통신공학과(인공지능반도체공학)</t>
    <phoneticPr fontId="9" type="noConversion"/>
  </si>
  <si>
    <t>미래자동차사업단(미래자동차공학)</t>
    <phoneticPr fontId="9" type="noConversion"/>
  </si>
  <si>
    <t>평점평균 3.8 이상/성적순</t>
  </si>
  <si>
    <t>평점평균 3.9 이상/성적순
(마이크로전공 가산점 포함)</t>
  </si>
  <si>
    <t>평점평균 3.8 이상/성적순
(마이크로전공가산점포함)</t>
  </si>
  <si>
    <t>평점평균 3.5 이상 또는 국어교육과 전공과목 6학점 이상 이수자</t>
  </si>
  <si>
    <t>사회교육과(통합사회)</t>
  </si>
  <si>
    <t>성적순</t>
  </si>
  <si>
    <t>기후위기 대응 사업단(기후위기 대응)</t>
    <phoneticPr fontId="9" type="noConversion"/>
  </si>
  <si>
    <t>한국어문학과</t>
    <phoneticPr fontId="9" type="noConversion"/>
  </si>
  <si>
    <t>평점평균 2.5 이상, 면접</t>
  </si>
  <si>
    <t>평점평균 3.75 이상/성적순</t>
  </si>
  <si>
    <t>신청자 전원 선발</t>
    <phoneticPr fontId="9" type="noConversion"/>
  </si>
  <si>
    <t>평점평균 3.75 이상, 면접</t>
  </si>
  <si>
    <t>평점 평균 3.0이상/성적 저조 혹은 고학년 학생은 면담 통해 결정</t>
  </si>
  <si>
    <t>바이오시스템융합학부</t>
    <phoneticPr fontId="9" type="noConversion"/>
  </si>
  <si>
    <t>평점평균 3.3 이상/성적순</t>
    <phoneticPr fontId="9" type="noConversion"/>
  </si>
  <si>
    <t>2024-1학기</t>
    <phoneticPr fontId="2" type="noConversion"/>
  </si>
  <si>
    <t>2024-2학기</t>
  </si>
  <si>
    <t>2024-2학기</t>
    <phoneticPr fontId="2" type="noConversion"/>
  </si>
  <si>
    <t>-</t>
    <phoneticPr fontId="2" type="noConversion"/>
  </si>
  <si>
    <t>선발계획 없음</t>
    <phoneticPr fontId="2" type="noConversion"/>
  </si>
  <si>
    <t>평점평균 3.0 이상/성적순</t>
    <phoneticPr fontId="2" type="noConversion"/>
  </si>
  <si>
    <t>평점평균/성적순</t>
    <phoneticPr fontId="2" type="noConversion"/>
  </si>
  <si>
    <t>`</t>
    <phoneticPr fontId="2" type="noConversion"/>
  </si>
  <si>
    <t>24학년도 기준 2, 3학년,프로그래밍 과목 이수 
평점평균 3.5 이상, 성적순</t>
    <phoneticPr fontId="2" type="noConversion"/>
  </si>
  <si>
    <t>24학년도 기준 2, 3학년, 프로그래밍 과목 이수
평점평균 3.5 이상, 성적순</t>
    <phoneticPr fontId="2" type="noConversion"/>
  </si>
  <si>
    <t>24학년도 기준 2,3학년, 통계학 이수, 
평점평균 3.5이상/성적순</t>
    <phoneticPr fontId="2" type="noConversion"/>
  </si>
  <si>
    <t>평점평균 2.0 이상/성적순</t>
    <phoneticPr fontId="2" type="noConversion"/>
  </si>
  <si>
    <t>2024-2학기 학과(전공)별 다중전공(복수·부·연계·융합전공) 선발 계획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</si>
</sst>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%"/>
    <numFmt numFmtId="177" formatCode="0_ "/>
    <numFmt numFmtId="178" formatCode="#,##0_);[Red]\(#,##0\)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2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굴림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</font>
    <font>
      <b/>
      <sz val="12"/>
      <color theme="1"/>
      <name val="굴림"/>
      <family val="3"/>
      <charset val="129"/>
    </font>
    <font>
      <sz val="11"/>
      <name val="Calibri"/>
      <family val="2"/>
    </font>
    <font>
      <sz val="22"/>
      <color theme="1"/>
      <name val="굴림"/>
      <family val="3"/>
      <charset val="129"/>
    </font>
    <font>
      <b/>
      <sz val="12"/>
      <color indexed="8"/>
      <name val="굴림"/>
      <family val="3"/>
      <charset val="129"/>
    </font>
    <font>
      <b/>
      <sz val="12"/>
      <color rgb="FF0000FF"/>
      <name val="굴림"/>
      <family val="3"/>
      <charset val="129"/>
    </font>
    <font>
      <sz val="12"/>
      <color rgb="FF0000FF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22"/>
      <color rgb="FF0000FF"/>
      <name val="굴림"/>
      <family val="3"/>
      <charset val="129"/>
    </font>
    <font>
      <sz val="11"/>
      <color rgb="FF0000FF"/>
      <name val="맑은 고딕"/>
      <family val="3"/>
      <charset val="129"/>
      <scheme val="minor"/>
    </font>
    <font>
      <b/>
      <sz val="18"/>
      <color theme="1"/>
      <name val="굴림"/>
      <family val="3"/>
      <charset val="129"/>
    </font>
    <font>
      <b/>
      <sz val="18"/>
      <color rgb="FF0000FF"/>
      <name val="굴림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2"/>
      <name val="굴림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</patternFill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A6A6A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BE5D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00FF"/>
      </left>
      <right style="thin">
        <color indexed="64"/>
      </right>
      <top style="thick">
        <color rgb="FF0000FF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 style="thin">
        <color indexed="64"/>
      </bottom>
      <diagonal/>
    </border>
    <border diagonalUp="1" diagonalDown="1">
      <left style="thick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 style="thick">
        <color rgb="FF0000FF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0" fillId="0" borderId="0"/>
    <xf numFmtId="9" fontId="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3" fillId="0" borderId="0"/>
  </cellStyleXfs>
  <cellXfs count="300">
    <xf numFmtId="0" fontId="0" fillId="0" borderId="0" xfId="0">
      <alignment vertical="center"/>
    </xf>
    <xf numFmtId="0" fontId="8" fillId="2" borderId="0" xfId="2" applyFont="1" applyFill="1" applyAlignment="1">
      <alignment horizontal="centerContinuous" vertical="center"/>
    </xf>
    <xf numFmtId="0" fontId="7" fillId="7" borderId="0" xfId="2" applyFill="1">
      <alignment vertical="center"/>
    </xf>
    <xf numFmtId="0" fontId="7" fillId="2" borderId="0" xfId="2" applyFill="1">
      <alignment vertical="center"/>
    </xf>
    <xf numFmtId="0" fontId="7" fillId="2" borderId="0" xfId="2" applyFont="1" applyFill="1" applyAlignment="1">
      <alignment horizontal="center" vertical="center"/>
    </xf>
    <xf numFmtId="0" fontId="6" fillId="2" borderId="0" xfId="2" applyFont="1" applyFill="1">
      <alignment vertical="center"/>
    </xf>
    <xf numFmtId="0" fontId="6" fillId="2" borderId="0" xfId="2" applyFont="1" applyFill="1" applyAlignment="1">
      <alignment horizontal="center" vertical="center"/>
    </xf>
    <xf numFmtId="0" fontId="4" fillId="7" borderId="0" xfId="2" applyFont="1" applyFill="1">
      <alignment vertical="center"/>
    </xf>
    <xf numFmtId="0" fontId="5" fillId="0" borderId="1" xfId="3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0" fontId="5" fillId="8" borderId="1" xfId="3" applyFont="1" applyFill="1" applyBorder="1" applyAlignment="1">
      <alignment horizontal="center" vertical="center"/>
    </xf>
    <xf numFmtId="0" fontId="18" fillId="0" borderId="3" xfId="3" applyNumberFormat="1" applyFont="1" applyBorder="1" applyAlignment="1">
      <alignment vertical="center"/>
    </xf>
    <xf numFmtId="0" fontId="18" fillId="13" borderId="3" xfId="3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vertical="center"/>
    </xf>
    <xf numFmtId="0" fontId="5" fillId="0" borderId="1" xfId="3" applyFont="1" applyBorder="1" applyAlignment="1">
      <alignment vertical="center" shrinkToFit="1"/>
    </xf>
    <xf numFmtId="0" fontId="7" fillId="7" borderId="0" xfId="2" applyFont="1" applyFill="1" applyAlignment="1">
      <alignment horizontal="center" vertical="center"/>
    </xf>
    <xf numFmtId="178" fontId="8" fillId="2" borderId="0" xfId="2" applyNumberFormat="1" applyFont="1" applyFill="1" applyAlignment="1">
      <alignment horizontal="centerContinuous" vertical="center"/>
    </xf>
    <xf numFmtId="178" fontId="14" fillId="2" borderId="0" xfId="2" applyNumberFormat="1" applyFont="1" applyFill="1" applyAlignment="1">
      <alignment horizontal="centerContinuous" vertical="center"/>
    </xf>
    <xf numFmtId="178" fontId="20" fillId="2" borderId="0" xfId="2" applyNumberFormat="1" applyFont="1" applyFill="1" applyAlignment="1">
      <alignment horizontal="centerContinuous" vertical="center"/>
    </xf>
    <xf numFmtId="176" fontId="8" fillId="2" borderId="0" xfId="2" applyNumberFormat="1" applyFont="1" applyFill="1" applyAlignment="1">
      <alignment horizontal="centerContinuous" vertical="center"/>
    </xf>
    <xf numFmtId="178" fontId="7" fillId="2" borderId="0" xfId="2" applyNumberFormat="1" applyFill="1" applyAlignment="1">
      <alignment horizontal="center" vertical="center"/>
    </xf>
    <xf numFmtId="178" fontId="7" fillId="2" borderId="0" xfId="2" applyNumberFormat="1" applyFont="1" applyFill="1" applyAlignment="1">
      <alignment horizontal="center" vertical="center"/>
    </xf>
    <xf numFmtId="178" fontId="21" fillId="2" borderId="0" xfId="2" applyNumberFormat="1" applyFont="1" applyFill="1" applyAlignment="1">
      <alignment horizontal="center" vertical="center"/>
    </xf>
    <xf numFmtId="176" fontId="7" fillId="2" borderId="0" xfId="2" applyNumberFormat="1" applyFont="1" applyFill="1" applyAlignment="1">
      <alignment horizontal="center" vertical="center"/>
    </xf>
    <xf numFmtId="0" fontId="7" fillId="2" borderId="0" xfId="2" applyFont="1" applyFill="1">
      <alignment vertical="center"/>
    </xf>
    <xf numFmtId="178" fontId="6" fillId="2" borderId="0" xfId="2" applyNumberFormat="1" applyFont="1" applyFill="1" applyAlignment="1">
      <alignment horizontal="center" vertical="center"/>
    </xf>
    <xf numFmtId="178" fontId="17" fillId="2" borderId="0" xfId="2" applyNumberFormat="1" applyFont="1" applyFill="1" applyAlignment="1">
      <alignment horizontal="center" vertical="center"/>
    </xf>
    <xf numFmtId="176" fontId="6" fillId="2" borderId="0" xfId="2" applyNumberFormat="1" applyFont="1" applyFill="1" applyAlignment="1">
      <alignment horizontal="center" vertical="center"/>
    </xf>
    <xf numFmtId="178" fontId="12" fillId="9" borderId="1" xfId="2" applyNumberFormat="1" applyFont="1" applyFill="1" applyBorder="1" applyAlignment="1">
      <alignment horizontal="centerContinuous" vertical="center"/>
    </xf>
    <xf numFmtId="0" fontId="24" fillId="7" borderId="0" xfId="2" applyFont="1" applyFill="1">
      <alignment vertical="center"/>
    </xf>
    <xf numFmtId="0" fontId="7" fillId="7" borderId="0" xfId="2" applyFont="1" applyFill="1">
      <alignment vertical="center"/>
    </xf>
    <xf numFmtId="178" fontId="6" fillId="6" borderId="1" xfId="3" applyNumberFormat="1" applyFont="1" applyFill="1" applyBorder="1" applyAlignment="1">
      <alignment horizontal="center" vertical="center"/>
    </xf>
    <xf numFmtId="178" fontId="6" fillId="3" borderId="1" xfId="2" applyNumberFormat="1" applyFont="1" applyFill="1" applyBorder="1" applyAlignment="1">
      <alignment horizontal="center" vertical="center" wrapText="1"/>
    </xf>
    <xf numFmtId="178" fontId="6" fillId="9" borderId="1" xfId="2" applyNumberFormat="1" applyFont="1" applyFill="1" applyBorder="1" applyAlignment="1">
      <alignment horizontal="center" vertical="center" wrapText="1"/>
    </xf>
    <xf numFmtId="178" fontId="6" fillId="6" borderId="1" xfId="2" applyNumberFormat="1" applyFont="1" applyFill="1" applyBorder="1" applyAlignment="1">
      <alignment horizontal="center" vertical="center" wrapText="1"/>
    </xf>
    <xf numFmtId="0" fontId="15" fillId="5" borderId="1" xfId="3" applyNumberFormat="1" applyFont="1" applyFill="1" applyBorder="1" applyAlignment="1">
      <alignment vertical="center"/>
    </xf>
    <xf numFmtId="178" fontId="6" fillId="9" borderId="1" xfId="3" applyNumberFormat="1" applyFont="1" applyFill="1" applyBorder="1" applyAlignment="1">
      <alignment horizontal="center" vertical="center"/>
    </xf>
    <xf numFmtId="178" fontId="12" fillId="8" borderId="1" xfId="7" applyNumberFormat="1" applyFont="1" applyFill="1" applyBorder="1" applyAlignment="1">
      <alignment horizontal="center" vertical="center"/>
    </xf>
    <xf numFmtId="178" fontId="12" fillId="8" borderId="1" xfId="3" applyNumberFormat="1" applyFont="1" applyFill="1" applyBorder="1" applyAlignment="1">
      <alignment horizontal="center" vertical="center"/>
    </xf>
    <xf numFmtId="178" fontId="19" fillId="10" borderId="3" xfId="3" applyNumberFormat="1" applyFont="1" applyFill="1" applyBorder="1" applyAlignment="1">
      <alignment horizontal="center" vertical="center"/>
    </xf>
    <xf numFmtId="178" fontId="18" fillId="13" borderId="3" xfId="3" applyNumberFormat="1" applyFont="1" applyFill="1" applyBorder="1" applyAlignment="1">
      <alignment horizontal="center" vertical="center"/>
    </xf>
    <xf numFmtId="0" fontId="18" fillId="0" borderId="1" xfId="3" applyNumberFormat="1" applyFont="1" applyBorder="1" applyAlignment="1">
      <alignment vertical="center"/>
    </xf>
    <xf numFmtId="178" fontId="19" fillId="16" borderId="1" xfId="3" applyNumberFormat="1" applyFont="1" applyFill="1" applyBorder="1" applyAlignment="1">
      <alignment horizontal="center" vertical="center"/>
    </xf>
    <xf numFmtId="0" fontId="18" fillId="0" borderId="1" xfId="3" applyNumberFormat="1" applyFont="1" applyFill="1" applyBorder="1" applyAlignment="1">
      <alignment horizontal="left" vertical="center"/>
    </xf>
    <xf numFmtId="0" fontId="18" fillId="0" borderId="1" xfId="3" applyNumberFormat="1" applyFont="1" applyBorder="1" applyAlignment="1">
      <alignment horizontal="left" vertical="center"/>
    </xf>
    <xf numFmtId="0" fontId="18" fillId="17" borderId="1" xfId="3" applyNumberFormat="1" applyFont="1" applyFill="1" applyBorder="1" applyAlignment="1">
      <alignment horizontal="center" vertical="center"/>
    </xf>
    <xf numFmtId="178" fontId="18" fillId="17" borderId="1" xfId="3" applyNumberFormat="1" applyFont="1" applyFill="1" applyBorder="1" applyAlignment="1">
      <alignment horizontal="center" vertical="center"/>
    </xf>
    <xf numFmtId="9" fontId="6" fillId="6" borderId="1" xfId="6" applyFont="1" applyFill="1" applyBorder="1" applyAlignment="1">
      <alignment horizontal="center" vertical="center"/>
    </xf>
    <xf numFmtId="9" fontId="6" fillId="6" borderId="1" xfId="6" applyFont="1" applyFill="1" applyBorder="1" applyAlignment="1">
      <alignment horizontal="center" vertical="center" wrapText="1"/>
    </xf>
    <xf numFmtId="177" fontId="6" fillId="9" borderId="1" xfId="6" applyNumberFormat="1" applyFont="1" applyFill="1" applyBorder="1" applyAlignment="1">
      <alignment horizontal="center" vertical="center" wrapText="1"/>
    </xf>
    <xf numFmtId="38" fontId="6" fillId="6" borderId="1" xfId="3" applyNumberFormat="1" applyFont="1" applyFill="1" applyBorder="1" applyAlignment="1">
      <alignment horizontal="center" vertical="center"/>
    </xf>
    <xf numFmtId="38" fontId="6" fillId="3" borderId="1" xfId="2" applyNumberFormat="1" applyFont="1" applyFill="1" applyBorder="1" applyAlignment="1">
      <alignment horizontal="center" vertical="center" wrapText="1"/>
    </xf>
    <xf numFmtId="38" fontId="6" fillId="9" borderId="1" xfId="2" applyNumberFormat="1" applyFont="1" applyFill="1" applyBorder="1" applyAlignment="1">
      <alignment horizontal="center" vertical="center" wrapText="1"/>
    </xf>
    <xf numFmtId="38" fontId="6" fillId="6" borderId="1" xfId="2" applyNumberFormat="1" applyFont="1" applyFill="1" applyBorder="1" applyAlignment="1">
      <alignment horizontal="center" vertical="center" wrapText="1"/>
    </xf>
    <xf numFmtId="178" fontId="12" fillId="3" borderId="1" xfId="2" applyNumberFormat="1" applyFont="1" applyFill="1" applyBorder="1" applyAlignment="1">
      <alignment horizontal="center" vertical="center" wrapText="1"/>
    </xf>
    <xf numFmtId="178" fontId="12" fillId="9" borderId="1" xfId="2" applyNumberFormat="1" applyFont="1" applyFill="1" applyBorder="1" applyAlignment="1">
      <alignment horizontal="center" vertical="center" wrapText="1"/>
    </xf>
    <xf numFmtId="0" fontId="12" fillId="0" borderId="1" xfId="2" applyFont="1" applyFill="1" applyBorder="1">
      <alignment vertical="center"/>
    </xf>
    <xf numFmtId="178" fontId="6" fillId="6" borderId="1" xfId="2" applyNumberFormat="1" applyFont="1" applyFill="1" applyBorder="1" applyAlignment="1">
      <alignment horizontal="center" vertical="center"/>
    </xf>
    <xf numFmtId="178" fontId="12" fillId="3" borderId="1" xfId="3" applyNumberFormat="1" applyFont="1" applyFill="1" applyBorder="1" applyAlignment="1">
      <alignment horizontal="center" vertical="center"/>
    </xf>
    <xf numFmtId="178" fontId="12" fillId="9" borderId="1" xfId="3" applyNumberFormat="1" applyFont="1" applyFill="1" applyBorder="1" applyAlignment="1">
      <alignment horizontal="center" vertical="center"/>
    </xf>
    <xf numFmtId="178" fontId="6" fillId="3" borderId="1" xfId="3" applyNumberFormat="1" applyFont="1" applyFill="1" applyBorder="1" applyAlignment="1">
      <alignment horizontal="center" vertical="center"/>
    </xf>
    <xf numFmtId="178" fontId="7" fillId="7" borderId="0" xfId="2" applyNumberFormat="1" applyFill="1" applyAlignment="1">
      <alignment horizontal="center" vertical="center"/>
    </xf>
    <xf numFmtId="178" fontId="7" fillId="7" borderId="0" xfId="2" applyNumberFormat="1" applyFont="1" applyFill="1" applyAlignment="1">
      <alignment horizontal="center" vertical="center"/>
    </xf>
    <xf numFmtId="178" fontId="21" fillId="7" borderId="0" xfId="2" applyNumberFormat="1" applyFont="1" applyFill="1" applyAlignment="1">
      <alignment horizontal="center" vertical="center"/>
    </xf>
    <xf numFmtId="176" fontId="7" fillId="7" borderId="0" xfId="2" applyNumberFormat="1" applyFont="1" applyFill="1" applyAlignment="1">
      <alignment horizontal="center" vertical="center"/>
    </xf>
    <xf numFmtId="0" fontId="12" fillId="5" borderId="1" xfId="3" applyFont="1" applyFill="1" applyBorder="1" applyAlignment="1">
      <alignment vertical="center"/>
    </xf>
    <xf numFmtId="9" fontId="5" fillId="5" borderId="1" xfId="6" applyFont="1" applyFill="1" applyBorder="1" applyAlignment="1">
      <alignment vertical="center"/>
    </xf>
    <xf numFmtId="178" fontId="12" fillId="11" borderId="3" xfId="2" applyNumberFormat="1" applyFont="1" applyFill="1" applyBorder="1" applyAlignment="1">
      <alignment horizontal="center" vertical="center" wrapText="1"/>
    </xf>
    <xf numFmtId="178" fontId="6" fillId="10" borderId="3" xfId="3" applyNumberFormat="1" applyFont="1" applyFill="1" applyBorder="1" applyAlignment="1">
      <alignment horizontal="center" vertical="center"/>
    </xf>
    <xf numFmtId="178" fontId="12" fillId="13" borderId="3" xfId="3" applyNumberFormat="1" applyFont="1" applyFill="1" applyBorder="1" applyAlignment="1">
      <alignment horizontal="center" vertical="center"/>
    </xf>
    <xf numFmtId="178" fontId="12" fillId="4" borderId="1" xfId="2" applyNumberFormat="1" applyFont="1" applyFill="1" applyBorder="1" applyAlignment="1">
      <alignment horizontal="center" vertical="center" wrapText="1"/>
    </xf>
    <xf numFmtId="178" fontId="6" fillId="16" borderId="1" xfId="3" applyNumberFormat="1" applyFont="1" applyFill="1" applyBorder="1" applyAlignment="1">
      <alignment horizontal="center" vertical="center"/>
    </xf>
    <xf numFmtId="178" fontId="12" fillId="17" borderId="1" xfId="3" applyNumberFormat="1" applyFont="1" applyFill="1" applyBorder="1" applyAlignment="1">
      <alignment horizontal="center" vertical="center"/>
    </xf>
    <xf numFmtId="38" fontId="12" fillId="3" borderId="1" xfId="2" applyNumberFormat="1" applyFont="1" applyFill="1" applyBorder="1" applyAlignment="1">
      <alignment horizontal="center" vertical="center" wrapText="1"/>
    </xf>
    <xf numFmtId="178" fontId="12" fillId="12" borderId="3" xfId="2" applyNumberFormat="1" applyFont="1" applyFill="1" applyBorder="1" applyAlignment="1">
      <alignment horizontal="center" vertical="center" wrapText="1"/>
    </xf>
    <xf numFmtId="178" fontId="6" fillId="16" borderId="1" xfId="2" applyNumberFormat="1" applyFont="1" applyFill="1" applyBorder="1" applyAlignment="1">
      <alignment horizontal="center" vertical="center" wrapText="1"/>
    </xf>
    <xf numFmtId="9" fontId="12" fillId="9" borderId="1" xfId="6" applyFont="1" applyFill="1" applyBorder="1" applyAlignment="1">
      <alignment horizontal="center" vertical="center" wrapText="1"/>
    </xf>
    <xf numFmtId="38" fontId="12" fillId="9" borderId="1" xfId="2" applyNumberFormat="1" applyFont="1" applyFill="1" applyBorder="1" applyAlignment="1">
      <alignment horizontal="center" vertical="center" wrapText="1"/>
    </xf>
    <xf numFmtId="178" fontId="12" fillId="9" borderId="1" xfId="3" quotePrefix="1" applyNumberFormat="1" applyFont="1" applyFill="1" applyBorder="1" applyAlignment="1">
      <alignment horizontal="center" vertical="center"/>
    </xf>
    <xf numFmtId="178" fontId="6" fillId="10" borderId="3" xfId="2" applyNumberFormat="1" applyFont="1" applyFill="1" applyBorder="1" applyAlignment="1">
      <alignment horizontal="center" vertical="center" wrapText="1"/>
    </xf>
    <xf numFmtId="178" fontId="6" fillId="11" borderId="3" xfId="2" applyNumberFormat="1" applyFont="1" applyFill="1" applyBorder="1" applyAlignment="1">
      <alignment horizontal="center" vertical="center" wrapText="1"/>
    </xf>
    <xf numFmtId="178" fontId="6" fillId="4" borderId="1" xfId="2" applyNumberFormat="1" applyFont="1" applyFill="1" applyBorder="1" applyAlignment="1">
      <alignment horizontal="center" vertical="center" wrapText="1"/>
    </xf>
    <xf numFmtId="178" fontId="6" fillId="12" borderId="3" xfId="2" applyNumberFormat="1" applyFont="1" applyFill="1" applyBorder="1" applyAlignment="1">
      <alignment horizontal="center" vertical="center" wrapText="1"/>
    </xf>
    <xf numFmtId="178" fontId="12" fillId="3" borderId="1" xfId="2" applyNumberFormat="1" applyFont="1" applyFill="1" applyBorder="1" applyAlignment="1">
      <alignment horizontal="centerContinuous" vertical="center"/>
    </xf>
    <xf numFmtId="178" fontId="12" fillId="18" borderId="1" xfId="2" applyNumberFormat="1" applyFont="1" applyFill="1" applyBorder="1" applyAlignment="1">
      <alignment horizontal="centerContinuous" vertical="center"/>
    </xf>
    <xf numFmtId="178" fontId="12" fillId="18" borderId="1" xfId="2" applyNumberFormat="1" applyFont="1" applyFill="1" applyBorder="1" applyAlignment="1">
      <alignment horizontal="center" vertical="center" wrapText="1"/>
    </xf>
    <xf numFmtId="38" fontId="12" fillId="18" borderId="1" xfId="2" applyNumberFormat="1" applyFont="1" applyFill="1" applyBorder="1" applyAlignment="1">
      <alignment horizontal="center" vertical="center" wrapText="1"/>
    </xf>
    <xf numFmtId="178" fontId="12" fillId="18" borderId="1" xfId="3" applyNumberFormat="1" applyFont="1" applyFill="1" applyBorder="1" applyAlignment="1">
      <alignment horizontal="center" vertical="center"/>
    </xf>
    <xf numFmtId="178" fontId="12" fillId="18" borderId="3" xfId="2" applyNumberFormat="1" applyFont="1" applyFill="1" applyBorder="1" applyAlignment="1">
      <alignment horizontal="center" vertical="center" wrapText="1"/>
    </xf>
    <xf numFmtId="0" fontId="18" fillId="18" borderId="3" xfId="3" applyNumberFormat="1" applyFont="1" applyFill="1" applyBorder="1" applyAlignment="1">
      <alignment horizontal="left" vertical="center"/>
    </xf>
    <xf numFmtId="0" fontId="18" fillId="18" borderId="1" xfId="3" applyNumberFormat="1" applyFont="1" applyFill="1" applyBorder="1" applyAlignment="1">
      <alignment vertical="center"/>
    </xf>
    <xf numFmtId="0" fontId="18" fillId="18" borderId="3" xfId="3" applyNumberFormat="1" applyFont="1" applyFill="1" applyBorder="1" applyAlignment="1">
      <alignment vertical="center"/>
    </xf>
    <xf numFmtId="0" fontId="5" fillId="18" borderId="1" xfId="3" applyFont="1" applyFill="1" applyBorder="1" applyAlignment="1">
      <alignment horizontal="left" vertical="center"/>
    </xf>
    <xf numFmtId="0" fontId="5" fillId="18" borderId="1" xfId="3" applyFont="1" applyFill="1" applyBorder="1" applyAlignment="1">
      <alignment vertical="center"/>
    </xf>
    <xf numFmtId="0" fontId="5" fillId="18" borderId="1" xfId="3" applyFont="1" applyFill="1" applyBorder="1" applyAlignment="1">
      <alignment vertical="center" shrinkToFit="1"/>
    </xf>
    <xf numFmtId="176" fontId="6" fillId="6" borderId="5" xfId="2" applyNumberFormat="1" applyFont="1" applyFill="1" applyBorder="1" applyAlignment="1">
      <alignment horizontal="center" vertical="center" wrapText="1"/>
    </xf>
    <xf numFmtId="176" fontId="12" fillId="8" borderId="5" xfId="3" applyNumberFormat="1" applyFont="1" applyFill="1" applyBorder="1" applyAlignment="1">
      <alignment horizontal="center" vertical="center"/>
    </xf>
    <xf numFmtId="176" fontId="6" fillId="3" borderId="5" xfId="2" applyNumberFormat="1" applyFont="1" applyFill="1" applyBorder="1" applyAlignment="1">
      <alignment horizontal="center" vertical="center" wrapText="1"/>
    </xf>
    <xf numFmtId="0" fontId="6" fillId="6" borderId="5" xfId="3" applyFont="1" applyFill="1" applyBorder="1" applyAlignment="1">
      <alignment horizontal="center" vertical="center"/>
    </xf>
    <xf numFmtId="176" fontId="12" fillId="8" borderId="5" xfId="2" applyNumberFormat="1" applyFont="1" applyFill="1" applyBorder="1" applyAlignment="1">
      <alignment horizontal="center" vertical="center" wrapText="1"/>
    </xf>
    <xf numFmtId="176" fontId="19" fillId="11" borderId="6" xfId="2" applyNumberFormat="1" applyFont="1" applyFill="1" applyBorder="1" applyAlignment="1">
      <alignment horizontal="center" vertical="center" wrapText="1"/>
    </xf>
    <xf numFmtId="0" fontId="19" fillId="10" borderId="6" xfId="3" applyNumberFormat="1" applyFont="1" applyFill="1" applyBorder="1" applyAlignment="1">
      <alignment horizontal="center" vertical="center"/>
    </xf>
    <xf numFmtId="176" fontId="18" fillId="13" borderId="6" xfId="2" applyNumberFormat="1" applyFont="1" applyFill="1" applyBorder="1" applyAlignment="1">
      <alignment horizontal="center" vertical="center" wrapText="1"/>
    </xf>
    <xf numFmtId="176" fontId="19" fillId="4" borderId="5" xfId="2" applyNumberFormat="1" applyFont="1" applyFill="1" applyBorder="1" applyAlignment="1">
      <alignment horizontal="center" vertical="center" wrapText="1"/>
    </xf>
    <xf numFmtId="0" fontId="19" fillId="16" borderId="5" xfId="3" applyNumberFormat="1" applyFont="1" applyFill="1" applyBorder="1" applyAlignment="1">
      <alignment horizontal="center" vertical="center"/>
    </xf>
    <xf numFmtId="176" fontId="18" fillId="17" borderId="5" xfId="2" applyNumberFormat="1" applyFont="1" applyFill="1" applyBorder="1" applyAlignment="1">
      <alignment horizontal="center" vertical="center" wrapText="1"/>
    </xf>
    <xf numFmtId="9" fontId="6" fillId="6" borderId="5" xfId="6" applyFont="1" applyFill="1" applyBorder="1" applyAlignment="1">
      <alignment horizontal="center" vertical="center" wrapText="1"/>
    </xf>
    <xf numFmtId="9" fontId="6" fillId="3" borderId="5" xfId="4" applyFont="1" applyFill="1" applyBorder="1" applyAlignment="1">
      <alignment horizontal="center" vertical="center" wrapText="1"/>
    </xf>
    <xf numFmtId="9" fontId="12" fillId="8" borderId="5" xfId="4" applyFont="1" applyFill="1" applyBorder="1" applyAlignment="1">
      <alignment horizontal="center" vertical="center" wrapText="1"/>
    </xf>
    <xf numFmtId="178" fontId="12" fillId="18" borderId="5" xfId="2" applyNumberFormat="1" applyFont="1" applyFill="1" applyBorder="1" applyAlignment="1">
      <alignment horizontal="centerContinuous" vertical="center"/>
    </xf>
    <xf numFmtId="178" fontId="6" fillId="6" borderId="5" xfId="2" applyNumberFormat="1" applyFont="1" applyFill="1" applyBorder="1" applyAlignment="1">
      <alignment horizontal="center" vertical="center" wrapText="1"/>
    </xf>
    <xf numFmtId="178" fontId="6" fillId="18" borderId="5" xfId="2" applyNumberFormat="1" applyFont="1" applyFill="1" applyBorder="1" applyAlignment="1">
      <alignment horizontal="center" vertical="center" wrapText="1"/>
    </xf>
    <xf numFmtId="178" fontId="12" fillId="8" borderId="5" xfId="3" applyNumberFormat="1" applyFont="1" applyFill="1" applyBorder="1" applyAlignment="1">
      <alignment horizontal="center" vertical="center"/>
    </xf>
    <xf numFmtId="178" fontId="6" fillId="10" borderId="6" xfId="2" applyNumberFormat="1" applyFont="1" applyFill="1" applyBorder="1" applyAlignment="1">
      <alignment horizontal="center" vertical="center" wrapText="1"/>
    </xf>
    <xf numFmtId="178" fontId="6" fillId="18" borderId="6" xfId="2" applyNumberFormat="1" applyFont="1" applyFill="1" applyBorder="1" applyAlignment="1">
      <alignment horizontal="center" vertical="center" wrapText="1"/>
    </xf>
    <xf numFmtId="178" fontId="12" fillId="13" borderId="6" xfId="3" applyNumberFormat="1" applyFont="1" applyFill="1" applyBorder="1" applyAlignment="1">
      <alignment horizontal="center" vertical="center"/>
    </xf>
    <xf numFmtId="178" fontId="6" fillId="16" borderId="5" xfId="2" applyNumberFormat="1" applyFont="1" applyFill="1" applyBorder="1" applyAlignment="1">
      <alignment horizontal="center" vertical="center" wrapText="1"/>
    </xf>
    <xf numFmtId="178" fontId="12" fillId="17" borderId="5" xfId="3" applyNumberFormat="1" applyFont="1" applyFill="1" applyBorder="1" applyAlignment="1">
      <alignment horizontal="center" vertical="center"/>
    </xf>
    <xf numFmtId="38" fontId="6" fillId="6" borderId="5" xfId="2" applyNumberFormat="1" applyFont="1" applyFill="1" applyBorder="1" applyAlignment="1">
      <alignment horizontal="center" vertical="center" wrapText="1"/>
    </xf>
    <xf numFmtId="38" fontId="6" fillId="18" borderId="5" xfId="2" applyNumberFormat="1" applyFont="1" applyFill="1" applyBorder="1" applyAlignment="1">
      <alignment horizontal="center" vertical="center" wrapText="1"/>
    </xf>
    <xf numFmtId="178" fontId="6" fillId="18" borderId="5" xfId="3" applyNumberFormat="1" applyFont="1" applyFill="1" applyBorder="1" applyAlignment="1">
      <alignment horizontal="center" vertical="center"/>
    </xf>
    <xf numFmtId="178" fontId="12" fillId="5" borderId="5" xfId="2" applyNumberFormat="1" applyFont="1" applyFill="1" applyBorder="1" applyAlignment="1">
      <alignment horizontal="centerContinuous" vertical="center"/>
    </xf>
    <xf numFmtId="178" fontId="6" fillId="5" borderId="5" xfId="2" applyNumberFormat="1" applyFont="1" applyFill="1" applyBorder="1" applyAlignment="1">
      <alignment horizontal="center" vertical="center" wrapText="1"/>
    </xf>
    <xf numFmtId="0" fontId="6" fillId="5" borderId="5" xfId="6" applyNumberFormat="1" applyFont="1" applyFill="1" applyBorder="1" applyAlignment="1">
      <alignment horizontal="center" vertical="center" wrapText="1"/>
    </xf>
    <xf numFmtId="0" fontId="6" fillId="2" borderId="0" xfId="2" applyFont="1" applyFill="1" applyBorder="1" applyAlignment="1">
      <alignment horizontal="right" vertical="center"/>
    </xf>
    <xf numFmtId="178" fontId="6" fillId="2" borderId="0" xfId="2" applyNumberFormat="1" applyFont="1" applyFill="1" applyBorder="1" applyAlignment="1">
      <alignment vertical="center"/>
    </xf>
    <xf numFmtId="178" fontId="17" fillId="2" borderId="0" xfId="2" applyNumberFormat="1" applyFont="1" applyFill="1" applyBorder="1" applyAlignment="1">
      <alignment vertical="center"/>
    </xf>
    <xf numFmtId="176" fontId="6" fillId="2" borderId="0" xfId="2" applyNumberFormat="1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38" fontId="19" fillId="19" borderId="1" xfId="2" applyNumberFormat="1" applyFont="1" applyFill="1" applyBorder="1" applyAlignment="1">
      <alignment horizontal="center" vertical="center" wrapText="1"/>
    </xf>
    <xf numFmtId="38" fontId="18" fillId="19" borderId="1" xfId="2" applyNumberFormat="1" applyFont="1" applyFill="1" applyBorder="1" applyAlignment="1">
      <alignment horizontal="center" vertical="center" wrapText="1"/>
    </xf>
    <xf numFmtId="176" fontId="19" fillId="19" borderId="5" xfId="2" applyNumberFormat="1" applyFont="1" applyFill="1" applyBorder="1" applyAlignment="1">
      <alignment horizontal="center" vertical="center" wrapText="1"/>
    </xf>
    <xf numFmtId="38" fontId="19" fillId="20" borderId="1" xfId="2" applyNumberFormat="1" applyFont="1" applyFill="1" applyBorder="1" applyAlignment="1">
      <alignment horizontal="center" vertical="center" wrapText="1"/>
    </xf>
    <xf numFmtId="38" fontId="18" fillId="20" borderId="1" xfId="2" applyNumberFormat="1" applyFont="1" applyFill="1" applyBorder="1" applyAlignment="1">
      <alignment horizontal="center" vertical="center" wrapText="1"/>
    </xf>
    <xf numFmtId="38" fontId="19" fillId="16" borderId="5" xfId="2" applyNumberFormat="1" applyFont="1" applyFill="1" applyBorder="1" applyAlignment="1">
      <alignment horizontal="center" vertical="center" wrapText="1"/>
    </xf>
    <xf numFmtId="38" fontId="19" fillId="16" borderId="1" xfId="2" applyNumberFormat="1" applyFont="1" applyFill="1" applyBorder="1" applyAlignment="1">
      <alignment horizontal="center" vertical="center" wrapText="1"/>
    </xf>
    <xf numFmtId="178" fontId="25" fillId="6" borderId="5" xfId="2" applyNumberFormat="1" applyFont="1" applyFill="1" applyBorder="1" applyAlignment="1">
      <alignment horizontal="center" vertical="center" wrapText="1"/>
    </xf>
    <xf numFmtId="178" fontId="25" fillId="6" borderId="1" xfId="2" applyNumberFormat="1" applyFont="1" applyFill="1" applyBorder="1" applyAlignment="1">
      <alignment horizontal="center" vertical="center" wrapText="1"/>
    </xf>
    <xf numFmtId="178" fontId="25" fillId="3" borderId="1" xfId="3" applyNumberFormat="1" applyFont="1" applyFill="1" applyBorder="1" applyAlignment="1">
      <alignment horizontal="center" vertical="center"/>
    </xf>
    <xf numFmtId="178" fontId="5" fillId="3" borderId="1" xfId="3" applyNumberFormat="1" applyFont="1" applyFill="1" applyBorder="1" applyAlignment="1">
      <alignment horizontal="center" vertical="center"/>
    </xf>
    <xf numFmtId="176" fontId="25" fillId="3" borderId="5" xfId="2" applyNumberFormat="1" applyFont="1" applyFill="1" applyBorder="1" applyAlignment="1">
      <alignment horizontal="center" vertical="center" wrapText="1"/>
    </xf>
    <xf numFmtId="178" fontId="25" fillId="9" borderId="1" xfId="3" applyNumberFormat="1" applyFont="1" applyFill="1" applyBorder="1" applyAlignment="1">
      <alignment horizontal="center" vertical="center"/>
    </xf>
    <xf numFmtId="178" fontId="5" fillId="9" borderId="1" xfId="3" applyNumberFormat="1" applyFont="1" applyFill="1" applyBorder="1" applyAlignment="1">
      <alignment horizontal="center" vertical="center"/>
    </xf>
    <xf numFmtId="178" fontId="6" fillId="9" borderId="3" xfId="2" applyNumberFormat="1" applyFont="1" applyFill="1" applyBorder="1" applyAlignment="1">
      <alignment horizontal="center" vertical="center" wrapText="1"/>
    </xf>
    <xf numFmtId="178" fontId="12" fillId="9" borderId="3" xfId="2" applyNumberFormat="1" applyFont="1" applyFill="1" applyBorder="1" applyAlignment="1">
      <alignment horizontal="center" vertical="center" wrapText="1"/>
    </xf>
    <xf numFmtId="176" fontId="17" fillId="3" borderId="5" xfId="2" applyNumberFormat="1" applyFont="1" applyFill="1" applyBorder="1" applyAlignment="1">
      <alignment horizontal="center" vertical="center" wrapText="1"/>
    </xf>
    <xf numFmtId="178" fontId="17" fillId="9" borderId="1" xfId="2" applyNumberFormat="1" applyFont="1" applyFill="1" applyBorder="1" applyAlignment="1">
      <alignment horizontal="center" vertical="center" wrapText="1"/>
    </xf>
    <xf numFmtId="178" fontId="16" fillId="9" borderId="1" xfId="2" applyNumberFormat="1" applyFont="1" applyFill="1" applyBorder="1" applyAlignment="1">
      <alignment horizontal="center" vertical="center" wrapText="1"/>
    </xf>
    <xf numFmtId="178" fontId="12" fillId="5" borderId="1" xfId="2" applyNumberFormat="1" applyFont="1" applyFill="1" applyBorder="1" applyAlignment="1">
      <alignment horizontal="centerContinuous" vertical="center"/>
    </xf>
    <xf numFmtId="178" fontId="12" fillId="5" borderId="1" xfId="2" applyNumberFormat="1" applyFont="1" applyFill="1" applyBorder="1" applyAlignment="1">
      <alignment horizontal="center" vertical="center" wrapText="1"/>
    </xf>
    <xf numFmtId="178" fontId="22" fillId="15" borderId="1" xfId="3" applyNumberFormat="1" applyFont="1" applyFill="1" applyBorder="1" applyAlignment="1">
      <alignment horizontal="center" vertical="center"/>
    </xf>
    <xf numFmtId="0" fontId="12" fillId="5" borderId="1" xfId="6" applyNumberFormat="1" applyFont="1" applyFill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Continuous" vertical="center"/>
    </xf>
    <xf numFmtId="0" fontId="12" fillId="9" borderId="1" xfId="2" applyFont="1" applyFill="1" applyBorder="1" applyAlignment="1">
      <alignment horizontal="centerContinuous" vertical="center"/>
    </xf>
    <xf numFmtId="0" fontId="12" fillId="18" borderId="1" xfId="2" applyFont="1" applyFill="1" applyBorder="1" applyAlignment="1">
      <alignment horizontal="centerContinuous" vertical="center"/>
    </xf>
    <xf numFmtId="0" fontId="12" fillId="5" borderId="1" xfId="2" applyFont="1" applyFill="1" applyBorder="1" applyAlignment="1">
      <alignment horizontal="centerContinuous" vertical="center"/>
    </xf>
    <xf numFmtId="176" fontId="12" fillId="3" borderId="2" xfId="2" applyNumberFormat="1" applyFont="1" applyFill="1" applyBorder="1" applyAlignment="1">
      <alignment vertical="center"/>
    </xf>
    <xf numFmtId="176" fontId="12" fillId="3" borderId="2" xfId="2" applyNumberFormat="1" applyFont="1" applyFill="1" applyBorder="1" applyAlignment="1">
      <alignment horizontal="center" vertical="center" wrapText="1"/>
    </xf>
    <xf numFmtId="176" fontId="22" fillId="15" borderId="2" xfId="3" applyNumberFormat="1" applyFont="1" applyFill="1" applyBorder="1" applyAlignment="1">
      <alignment horizontal="center" vertical="center"/>
    </xf>
    <xf numFmtId="176" fontId="6" fillId="6" borderId="2" xfId="3" applyNumberFormat="1" applyFont="1" applyFill="1" applyBorder="1" applyAlignment="1">
      <alignment horizontal="center" vertical="center"/>
    </xf>
    <xf numFmtId="176" fontId="6" fillId="6" borderId="2" xfId="2" applyNumberFormat="1" applyFont="1" applyFill="1" applyBorder="1" applyAlignment="1">
      <alignment horizontal="center" vertical="center" wrapText="1"/>
    </xf>
    <xf numFmtId="176" fontId="12" fillId="8" borderId="2" xfId="3" applyNumberFormat="1" applyFont="1" applyFill="1" applyBorder="1" applyAlignment="1">
      <alignment horizontal="center" vertical="center"/>
    </xf>
    <xf numFmtId="176" fontId="18" fillId="11" borderId="4" xfId="2" applyNumberFormat="1" applyFont="1" applyFill="1" applyBorder="1" applyAlignment="1">
      <alignment horizontal="center" vertical="center" wrapText="1"/>
    </xf>
    <xf numFmtId="176" fontId="18" fillId="13" borderId="4" xfId="3" applyNumberFormat="1" applyFont="1" applyFill="1" applyBorder="1" applyAlignment="1">
      <alignment horizontal="center" vertical="center"/>
    </xf>
    <xf numFmtId="176" fontId="18" fillId="4" borderId="2" xfId="2" applyNumberFormat="1" applyFont="1" applyFill="1" applyBorder="1" applyAlignment="1">
      <alignment horizontal="center" vertical="center" wrapText="1"/>
    </xf>
    <xf numFmtId="176" fontId="18" fillId="17" borderId="2" xfId="3" applyNumberFormat="1" applyFont="1" applyFill="1" applyBorder="1" applyAlignment="1">
      <alignment horizontal="center" vertical="center"/>
    </xf>
    <xf numFmtId="176" fontId="16" fillId="3" borderId="2" xfId="2" applyNumberFormat="1" applyFont="1" applyFill="1" applyBorder="1" applyAlignment="1">
      <alignment horizontal="center" vertical="center" wrapText="1"/>
    </xf>
    <xf numFmtId="176" fontId="18" fillId="19" borderId="2" xfId="2" applyNumberFormat="1" applyFont="1" applyFill="1" applyBorder="1" applyAlignment="1">
      <alignment horizontal="center" vertical="center" wrapText="1"/>
    </xf>
    <xf numFmtId="176" fontId="12" fillId="3" borderId="2" xfId="3" applyNumberFormat="1" applyFont="1" applyFill="1" applyBorder="1" applyAlignment="1">
      <alignment horizontal="center" vertical="center"/>
    </xf>
    <xf numFmtId="176" fontId="5" fillId="3" borderId="2" xfId="3" applyNumberFormat="1" applyFont="1" applyFill="1" applyBorder="1" applyAlignment="1">
      <alignment horizontal="center" vertical="center"/>
    </xf>
    <xf numFmtId="176" fontId="22" fillId="15" borderId="5" xfId="3" applyNumberFormat="1" applyFont="1" applyFill="1" applyBorder="1" applyAlignment="1">
      <alignment horizontal="center" vertical="center"/>
    </xf>
    <xf numFmtId="0" fontId="12" fillId="3" borderId="7" xfId="2" applyFont="1" applyFill="1" applyBorder="1" applyAlignment="1">
      <alignment horizontal="centerContinuous" vertical="center"/>
    </xf>
    <xf numFmtId="178" fontId="16" fillId="3" borderId="8" xfId="2" applyNumberFormat="1" applyFont="1" applyFill="1" applyBorder="1" applyAlignment="1">
      <alignment horizontal="center" vertical="center"/>
    </xf>
    <xf numFmtId="178" fontId="16" fillId="3" borderId="10" xfId="2" applyNumberFormat="1" applyFont="1" applyFill="1" applyBorder="1" applyAlignment="1">
      <alignment horizontal="center" vertical="center" wrapText="1"/>
    </xf>
    <xf numFmtId="178" fontId="23" fillId="15" borderId="10" xfId="3" applyNumberFormat="1" applyFont="1" applyFill="1" applyBorder="1" applyAlignment="1">
      <alignment horizontal="center" vertical="center"/>
    </xf>
    <xf numFmtId="178" fontId="23" fillId="15" borderId="11" xfId="3" applyNumberFormat="1" applyFont="1" applyFill="1" applyBorder="1" applyAlignment="1">
      <alignment horizontal="center" vertical="center"/>
    </xf>
    <xf numFmtId="176" fontId="17" fillId="3" borderId="11" xfId="4" applyNumberFormat="1" applyFont="1" applyFill="1" applyBorder="1" applyAlignment="1">
      <alignment horizontal="center" vertical="center" wrapText="1"/>
    </xf>
    <xf numFmtId="178" fontId="17" fillId="6" borderId="10" xfId="3" applyNumberFormat="1" applyFont="1" applyFill="1" applyBorder="1" applyAlignment="1">
      <alignment horizontal="center" vertical="center"/>
    </xf>
    <xf numFmtId="0" fontId="17" fillId="6" borderId="11" xfId="3" applyFont="1" applyFill="1" applyBorder="1" applyAlignment="1">
      <alignment horizontal="center" vertical="center"/>
    </xf>
    <xf numFmtId="0" fontId="17" fillId="3" borderId="11" xfId="2" applyFont="1" applyFill="1" applyBorder="1" applyAlignment="1">
      <alignment horizontal="center" vertical="center" wrapText="1"/>
    </xf>
    <xf numFmtId="178" fontId="17" fillId="6" borderId="10" xfId="2" applyNumberFormat="1" applyFont="1" applyFill="1" applyBorder="1" applyAlignment="1">
      <alignment horizontal="center" vertical="center" wrapText="1"/>
    </xf>
    <xf numFmtId="176" fontId="17" fillId="6" borderId="11" xfId="4" applyNumberFormat="1" applyFont="1" applyFill="1" applyBorder="1" applyAlignment="1">
      <alignment horizontal="center" vertical="center" wrapText="1"/>
    </xf>
    <xf numFmtId="176" fontId="17" fillId="4" borderId="11" xfId="4" applyNumberFormat="1" applyFont="1" applyFill="1" applyBorder="1" applyAlignment="1">
      <alignment horizontal="center" vertical="center" wrapText="1"/>
    </xf>
    <xf numFmtId="0" fontId="17" fillId="3" borderId="11" xfId="3" applyFont="1" applyFill="1" applyBorder="1" applyAlignment="1">
      <alignment horizontal="center" vertical="center" wrapText="1"/>
    </xf>
    <xf numFmtId="178" fontId="16" fillId="8" borderId="10" xfId="3" applyNumberFormat="1" applyFont="1" applyFill="1" applyBorder="1" applyAlignment="1">
      <alignment horizontal="center" vertical="center"/>
    </xf>
    <xf numFmtId="0" fontId="16" fillId="8" borderId="11" xfId="3" applyFont="1" applyFill="1" applyBorder="1" applyAlignment="1">
      <alignment horizontal="center" vertical="center"/>
    </xf>
    <xf numFmtId="178" fontId="16" fillId="11" borderId="12" xfId="2" applyNumberFormat="1" applyFont="1" applyFill="1" applyBorder="1" applyAlignment="1">
      <alignment horizontal="center" vertical="center" wrapText="1"/>
    </xf>
    <xf numFmtId="0" fontId="17" fillId="11" borderId="13" xfId="3" applyNumberFormat="1" applyFont="1" applyFill="1" applyBorder="1" applyAlignment="1">
      <alignment horizontal="center" vertical="center" wrapText="1"/>
    </xf>
    <xf numFmtId="0" fontId="17" fillId="11" borderId="13" xfId="2" applyNumberFormat="1" applyFont="1" applyFill="1" applyBorder="1" applyAlignment="1">
      <alignment horizontal="center" vertical="center" wrapText="1"/>
    </xf>
    <xf numFmtId="178" fontId="17" fillId="10" borderId="12" xfId="3" applyNumberFormat="1" applyFont="1" applyFill="1" applyBorder="1" applyAlignment="1">
      <alignment horizontal="center" vertical="center"/>
    </xf>
    <xf numFmtId="0" fontId="17" fillId="10" borderId="13" xfId="3" applyNumberFormat="1" applyFont="1" applyFill="1" applyBorder="1" applyAlignment="1">
      <alignment horizontal="center" vertical="center"/>
    </xf>
    <xf numFmtId="178" fontId="16" fillId="13" borderId="12" xfId="3" applyNumberFormat="1" applyFont="1" applyFill="1" applyBorder="1" applyAlignment="1">
      <alignment horizontal="center" vertical="center"/>
    </xf>
    <xf numFmtId="0" fontId="16" fillId="13" borderId="13" xfId="3" applyNumberFormat="1" applyFont="1" applyFill="1" applyBorder="1" applyAlignment="1">
      <alignment horizontal="center" vertical="center"/>
    </xf>
    <xf numFmtId="178" fontId="16" fillId="4" borderId="10" xfId="2" applyNumberFormat="1" applyFont="1" applyFill="1" applyBorder="1" applyAlignment="1">
      <alignment horizontal="center" vertical="center" wrapText="1"/>
    </xf>
    <xf numFmtId="0" fontId="17" fillId="4" borderId="11" xfId="2" applyNumberFormat="1" applyFont="1" applyFill="1" applyBorder="1" applyAlignment="1">
      <alignment horizontal="center" vertical="center" wrapText="1"/>
    </xf>
    <xf numFmtId="0" fontId="17" fillId="4" borderId="11" xfId="3" applyNumberFormat="1" applyFont="1" applyFill="1" applyBorder="1" applyAlignment="1">
      <alignment horizontal="center" vertical="center" wrapText="1"/>
    </xf>
    <xf numFmtId="178" fontId="17" fillId="16" borderId="10" xfId="3" applyNumberFormat="1" applyFont="1" applyFill="1" applyBorder="1" applyAlignment="1">
      <alignment horizontal="center" vertical="center"/>
    </xf>
    <xf numFmtId="0" fontId="17" fillId="16" borderId="11" xfId="3" applyNumberFormat="1" applyFont="1" applyFill="1" applyBorder="1" applyAlignment="1">
      <alignment horizontal="center" vertical="center"/>
    </xf>
    <xf numFmtId="178" fontId="16" fillId="17" borderId="10" xfId="3" applyNumberFormat="1" applyFont="1" applyFill="1" applyBorder="1" applyAlignment="1">
      <alignment horizontal="center" vertical="center"/>
    </xf>
    <xf numFmtId="0" fontId="16" fillId="17" borderId="11" xfId="3" applyNumberFormat="1" applyFont="1" applyFill="1" applyBorder="1" applyAlignment="1">
      <alignment horizontal="center" vertical="center"/>
    </xf>
    <xf numFmtId="178" fontId="16" fillId="6" borderId="10" xfId="3" applyNumberFormat="1" applyFont="1" applyFill="1" applyBorder="1" applyAlignment="1">
      <alignment horizontal="center" vertical="center"/>
    </xf>
    <xf numFmtId="9" fontId="17" fillId="6" borderId="10" xfId="6" applyFont="1" applyFill="1" applyBorder="1" applyAlignment="1">
      <alignment horizontal="center" vertical="center" wrapText="1"/>
    </xf>
    <xf numFmtId="9" fontId="17" fillId="6" borderId="11" xfId="6" applyFont="1" applyFill="1" applyBorder="1" applyAlignment="1">
      <alignment horizontal="center" vertical="center" wrapText="1"/>
    </xf>
    <xf numFmtId="38" fontId="16" fillId="3" borderId="10" xfId="2" applyNumberFormat="1" applyFont="1" applyFill="1" applyBorder="1" applyAlignment="1">
      <alignment horizontal="center" vertical="center" wrapText="1"/>
    </xf>
    <xf numFmtId="0" fontId="16" fillId="3" borderId="11" xfId="2" applyFont="1" applyFill="1" applyBorder="1" applyAlignment="1">
      <alignment horizontal="center" vertical="center" wrapText="1"/>
    </xf>
    <xf numFmtId="38" fontId="16" fillId="19" borderId="10" xfId="2" applyNumberFormat="1" applyFont="1" applyFill="1" applyBorder="1" applyAlignment="1">
      <alignment horizontal="center" vertical="center" wrapText="1"/>
    </xf>
    <xf numFmtId="0" fontId="17" fillId="19" borderId="11" xfId="3" applyNumberFormat="1" applyFont="1" applyFill="1" applyBorder="1" applyAlignment="1">
      <alignment horizontal="center" vertical="center" wrapText="1"/>
    </xf>
    <xf numFmtId="38" fontId="17" fillId="6" borderId="10" xfId="3" applyNumberFormat="1" applyFont="1" applyFill="1" applyBorder="1" applyAlignment="1">
      <alignment horizontal="center" vertical="center"/>
    </xf>
    <xf numFmtId="178" fontId="16" fillId="3" borderId="10" xfId="3" applyNumberFormat="1" applyFont="1" applyFill="1" applyBorder="1" applyAlignment="1">
      <alignment horizontal="center" vertical="center"/>
    </xf>
    <xf numFmtId="0" fontId="17" fillId="3" borderId="11" xfId="3" applyFont="1" applyFill="1" applyBorder="1" applyAlignment="1">
      <alignment horizontal="center" vertical="center"/>
    </xf>
    <xf numFmtId="178" fontId="16" fillId="8" borderId="14" xfId="3" applyNumberFormat="1" applyFont="1" applyFill="1" applyBorder="1" applyAlignment="1">
      <alignment horizontal="center" vertical="center"/>
    </xf>
    <xf numFmtId="0" fontId="16" fillId="8" borderId="15" xfId="3" applyFont="1" applyFill="1" applyBorder="1" applyAlignment="1">
      <alignment horizontal="center" vertical="center"/>
    </xf>
    <xf numFmtId="176" fontId="12" fillId="9" borderId="2" xfId="2" applyNumberFormat="1" applyFont="1" applyFill="1" applyBorder="1" applyAlignment="1">
      <alignment vertical="center"/>
    </xf>
    <xf numFmtId="176" fontId="12" fillId="9" borderId="2" xfId="2" applyNumberFormat="1" applyFont="1" applyFill="1" applyBorder="1" applyAlignment="1">
      <alignment horizontal="center" vertical="center" wrapText="1"/>
    </xf>
    <xf numFmtId="176" fontId="12" fillId="9" borderId="2" xfId="3" applyNumberFormat="1" applyFont="1" applyFill="1" applyBorder="1" applyAlignment="1">
      <alignment horizontal="center" vertical="center"/>
    </xf>
    <xf numFmtId="176" fontId="6" fillId="9" borderId="2" xfId="2" applyNumberFormat="1" applyFont="1" applyFill="1" applyBorder="1" applyAlignment="1">
      <alignment horizontal="center" vertical="center" wrapText="1"/>
    </xf>
    <xf numFmtId="176" fontId="18" fillId="12" borderId="4" xfId="2" applyNumberFormat="1" applyFont="1" applyFill="1" applyBorder="1" applyAlignment="1">
      <alignment horizontal="center" vertical="center" wrapText="1"/>
    </xf>
    <xf numFmtId="176" fontId="19" fillId="16" borderId="2" xfId="2" applyNumberFormat="1" applyFont="1" applyFill="1" applyBorder="1" applyAlignment="1">
      <alignment horizontal="center" vertical="center" wrapText="1"/>
    </xf>
    <xf numFmtId="176" fontId="16" fillId="9" borderId="2" xfId="2" applyNumberFormat="1" applyFont="1" applyFill="1" applyBorder="1" applyAlignment="1">
      <alignment horizontal="center" vertical="center" wrapText="1"/>
    </xf>
    <xf numFmtId="176" fontId="18" fillId="20" borderId="2" xfId="2" applyNumberFormat="1" applyFont="1" applyFill="1" applyBorder="1" applyAlignment="1">
      <alignment horizontal="center" vertical="center" wrapText="1"/>
    </xf>
    <xf numFmtId="176" fontId="5" fillId="9" borderId="2" xfId="3" applyNumberFormat="1" applyFont="1" applyFill="1" applyBorder="1" applyAlignment="1">
      <alignment horizontal="center" vertical="center"/>
    </xf>
    <xf numFmtId="176" fontId="18" fillId="9" borderId="4" xfId="2" applyNumberFormat="1" applyFont="1" applyFill="1" applyBorder="1" applyAlignment="1">
      <alignment horizontal="center" vertical="center" wrapText="1"/>
    </xf>
    <xf numFmtId="178" fontId="12" fillId="18" borderId="5" xfId="2" applyNumberFormat="1" applyFont="1" applyFill="1" applyBorder="1" applyAlignment="1">
      <alignment horizontal="center" vertical="center" wrapText="1"/>
    </xf>
    <xf numFmtId="178" fontId="22" fillId="15" borderId="5" xfId="3" applyNumberFormat="1" applyFont="1" applyFill="1" applyBorder="1" applyAlignment="1">
      <alignment horizontal="center" vertical="center"/>
    </xf>
    <xf numFmtId="0" fontId="12" fillId="9" borderId="7" xfId="2" applyFont="1" applyFill="1" applyBorder="1" applyAlignment="1">
      <alignment horizontal="centerContinuous" vertical="center"/>
    </xf>
    <xf numFmtId="178" fontId="16" fillId="9" borderId="8" xfId="2" applyNumberFormat="1" applyFont="1" applyFill="1" applyBorder="1" applyAlignment="1">
      <alignment horizontal="center" vertical="center"/>
    </xf>
    <xf numFmtId="178" fontId="16" fillId="9" borderId="10" xfId="2" applyNumberFormat="1" applyFont="1" applyFill="1" applyBorder="1" applyAlignment="1">
      <alignment horizontal="center" vertical="center" wrapText="1"/>
    </xf>
    <xf numFmtId="176" fontId="17" fillId="9" borderId="11" xfId="4" applyNumberFormat="1" applyFont="1" applyFill="1" applyBorder="1" applyAlignment="1">
      <alignment horizontal="center" vertical="center" wrapText="1"/>
    </xf>
    <xf numFmtId="178" fontId="16" fillId="9" borderId="10" xfId="3" applyNumberFormat="1" applyFont="1" applyFill="1" applyBorder="1" applyAlignment="1">
      <alignment horizontal="center" vertical="center"/>
    </xf>
    <xf numFmtId="178" fontId="17" fillId="9" borderId="10" xfId="2" applyNumberFormat="1" applyFont="1" applyFill="1" applyBorder="1" applyAlignment="1">
      <alignment horizontal="center" vertical="center" wrapText="1"/>
    </xf>
    <xf numFmtId="178" fontId="16" fillId="12" borderId="12" xfId="2" applyNumberFormat="1" applyFont="1" applyFill="1" applyBorder="1" applyAlignment="1">
      <alignment horizontal="center" vertical="center" wrapText="1"/>
    </xf>
    <xf numFmtId="178" fontId="17" fillId="16" borderId="10" xfId="2" applyNumberFormat="1" applyFont="1" applyFill="1" applyBorder="1" applyAlignment="1">
      <alignment horizontal="center" vertical="center" wrapText="1"/>
    </xf>
    <xf numFmtId="0" fontId="17" fillId="9" borderId="11" xfId="3" applyFont="1" applyFill="1" applyBorder="1" applyAlignment="1">
      <alignment horizontal="center" vertical="center" wrapText="1"/>
    </xf>
    <xf numFmtId="9" fontId="16" fillId="9" borderId="10" xfId="6" applyFont="1" applyFill="1" applyBorder="1" applyAlignment="1">
      <alignment horizontal="center" vertical="center" wrapText="1"/>
    </xf>
    <xf numFmtId="38" fontId="16" fillId="9" borderId="10" xfId="2" applyNumberFormat="1" applyFont="1" applyFill="1" applyBorder="1" applyAlignment="1">
      <alignment horizontal="center" vertical="center" wrapText="1"/>
    </xf>
    <xf numFmtId="38" fontId="16" fillId="20" borderId="10" xfId="2" applyNumberFormat="1" applyFont="1" applyFill="1" applyBorder="1" applyAlignment="1">
      <alignment horizontal="center" vertical="center" wrapText="1"/>
    </xf>
    <xf numFmtId="178" fontId="16" fillId="9" borderId="12" xfId="2" applyNumberFormat="1" applyFont="1" applyFill="1" applyBorder="1" applyAlignment="1">
      <alignment horizontal="center" vertical="center" wrapText="1"/>
    </xf>
    <xf numFmtId="0" fontId="17" fillId="9" borderId="11" xfId="2" applyFont="1" applyFill="1" applyBorder="1" applyAlignment="1">
      <alignment horizontal="center" vertical="center" wrapText="1"/>
    </xf>
    <xf numFmtId="176" fontId="17" fillId="9" borderId="11" xfId="6" applyNumberFormat="1" applyFont="1" applyFill="1" applyBorder="1" applyAlignment="1">
      <alignment horizontal="center" vertical="center" wrapText="1"/>
    </xf>
    <xf numFmtId="0" fontId="17" fillId="9" borderId="11" xfId="3" applyFont="1" applyFill="1" applyBorder="1" applyAlignment="1">
      <alignment horizontal="center" vertical="center"/>
    </xf>
    <xf numFmtId="0" fontId="17" fillId="12" borderId="13" xfId="3" applyNumberFormat="1" applyFont="1" applyFill="1" applyBorder="1" applyAlignment="1">
      <alignment horizontal="center" vertical="center" wrapText="1"/>
    </xf>
    <xf numFmtId="0" fontId="17" fillId="12" borderId="13" xfId="2" applyNumberFormat="1" applyFont="1" applyFill="1" applyBorder="1" applyAlignment="1">
      <alignment horizontal="center" vertical="center" wrapText="1"/>
    </xf>
    <xf numFmtId="0" fontId="17" fillId="16" borderId="11" xfId="2" applyNumberFormat="1" applyFont="1" applyFill="1" applyBorder="1" applyAlignment="1">
      <alignment horizontal="center" vertical="center" wrapText="1"/>
    </xf>
    <xf numFmtId="0" fontId="17" fillId="16" borderId="11" xfId="3" applyNumberFormat="1" applyFont="1" applyFill="1" applyBorder="1" applyAlignment="1">
      <alignment horizontal="center" vertical="center" wrapText="1"/>
    </xf>
    <xf numFmtId="9" fontId="17" fillId="9" borderId="11" xfId="6" applyFont="1" applyFill="1" applyBorder="1" applyAlignment="1">
      <alignment horizontal="center" vertical="center" wrapText="1"/>
    </xf>
    <xf numFmtId="0" fontId="17" fillId="20" borderId="11" xfId="2" applyNumberFormat="1" applyFont="1" applyFill="1" applyBorder="1" applyAlignment="1">
      <alignment horizontal="center" vertical="center" wrapText="1"/>
    </xf>
    <xf numFmtId="0" fontId="17" fillId="9" borderId="13" xfId="3" applyNumberFormat="1" applyFont="1" applyFill="1" applyBorder="1" applyAlignment="1">
      <alignment horizontal="center" vertical="center" wrapText="1"/>
    </xf>
    <xf numFmtId="176" fontId="12" fillId="18" borderId="2" xfId="2" applyNumberFormat="1" applyFont="1" applyFill="1" applyBorder="1" applyAlignment="1">
      <alignment vertical="center"/>
    </xf>
    <xf numFmtId="176" fontId="12" fillId="18" borderId="2" xfId="2" applyNumberFormat="1" applyFont="1" applyFill="1" applyBorder="1" applyAlignment="1">
      <alignment horizontal="center" vertical="center" wrapText="1"/>
    </xf>
    <xf numFmtId="176" fontId="19" fillId="10" borderId="4" xfId="2" applyNumberFormat="1" applyFont="1" applyFill="1" applyBorder="1" applyAlignment="1">
      <alignment horizontal="center" vertical="center" wrapText="1"/>
    </xf>
    <xf numFmtId="176" fontId="18" fillId="18" borderId="4" xfId="2" applyNumberFormat="1" applyFont="1" applyFill="1" applyBorder="1" applyAlignment="1">
      <alignment horizontal="center" vertical="center" wrapText="1"/>
    </xf>
    <xf numFmtId="176" fontId="18" fillId="18" borderId="2" xfId="2" applyNumberFormat="1" applyFont="1" applyFill="1" applyBorder="1" applyAlignment="1">
      <alignment horizontal="center" vertical="center" wrapText="1"/>
    </xf>
    <xf numFmtId="176" fontId="25" fillId="6" borderId="2" xfId="2" applyNumberFormat="1" applyFont="1" applyFill="1" applyBorder="1" applyAlignment="1">
      <alignment horizontal="center" vertical="center" wrapText="1"/>
    </xf>
    <xf numFmtId="178" fontId="12" fillId="5" borderId="5" xfId="2" applyNumberFormat="1" applyFont="1" applyFill="1" applyBorder="1" applyAlignment="1">
      <alignment horizontal="center" vertical="center" wrapText="1"/>
    </xf>
    <xf numFmtId="0" fontId="12" fillId="18" borderId="7" xfId="2" applyFont="1" applyFill="1" applyBorder="1" applyAlignment="1">
      <alignment horizontal="centerContinuous" vertical="center"/>
    </xf>
    <xf numFmtId="178" fontId="16" fillId="18" borderId="8" xfId="2" applyNumberFormat="1" applyFont="1" applyFill="1" applyBorder="1" applyAlignment="1">
      <alignment horizontal="center" vertical="center"/>
    </xf>
    <xf numFmtId="178" fontId="16" fillId="18" borderId="10" xfId="2" applyNumberFormat="1" applyFont="1" applyFill="1" applyBorder="1" applyAlignment="1">
      <alignment horizontal="center" vertical="center" wrapText="1"/>
    </xf>
    <xf numFmtId="0" fontId="17" fillId="6" borderId="11" xfId="2" applyFont="1" applyFill="1" applyBorder="1" applyAlignment="1">
      <alignment horizontal="center" vertical="center" wrapText="1"/>
    </xf>
    <xf numFmtId="0" fontId="17" fillId="18" borderId="11" xfId="3" applyFont="1" applyFill="1" applyBorder="1" applyAlignment="1">
      <alignment horizontal="center" vertical="center" wrapText="1"/>
    </xf>
    <xf numFmtId="0" fontId="17" fillId="18" borderId="11" xfId="2" applyFont="1" applyFill="1" applyBorder="1" applyAlignment="1">
      <alignment horizontal="center" vertical="center" wrapText="1"/>
    </xf>
    <xf numFmtId="178" fontId="17" fillId="10" borderId="12" xfId="2" applyNumberFormat="1" applyFont="1" applyFill="1" applyBorder="1" applyAlignment="1">
      <alignment horizontal="center" vertical="center" wrapText="1"/>
    </xf>
    <xf numFmtId="0" fontId="17" fillId="10" borderId="13" xfId="2" applyNumberFormat="1" applyFont="1" applyFill="1" applyBorder="1" applyAlignment="1">
      <alignment horizontal="center" vertical="center" wrapText="1"/>
    </xf>
    <xf numFmtId="178" fontId="16" fillId="18" borderId="12" xfId="2" applyNumberFormat="1" applyFont="1" applyFill="1" applyBorder="1" applyAlignment="1">
      <alignment horizontal="center" vertical="center" wrapText="1"/>
    </xf>
    <xf numFmtId="0" fontId="17" fillId="18" borderId="13" xfId="2" applyNumberFormat="1" applyFont="1" applyFill="1" applyBorder="1" applyAlignment="1">
      <alignment horizontal="center" vertical="center" wrapText="1"/>
    </xf>
    <xf numFmtId="0" fontId="17" fillId="18" borderId="13" xfId="3" applyNumberFormat="1" applyFont="1" applyFill="1" applyBorder="1" applyAlignment="1">
      <alignment horizontal="center" vertical="center" wrapText="1"/>
    </xf>
    <xf numFmtId="0" fontId="17" fillId="18" borderId="11" xfId="3" applyNumberFormat="1" applyFont="1" applyFill="1" applyBorder="1" applyAlignment="1">
      <alignment horizontal="center" vertical="center" wrapText="1"/>
    </xf>
    <xf numFmtId="38" fontId="17" fillId="6" borderId="10" xfId="2" applyNumberFormat="1" applyFont="1" applyFill="1" applyBorder="1" applyAlignment="1">
      <alignment horizontal="center" vertical="center" wrapText="1"/>
    </xf>
    <xf numFmtId="38" fontId="17" fillId="16" borderId="10" xfId="2" applyNumberFormat="1" applyFont="1" applyFill="1" applyBorder="1" applyAlignment="1">
      <alignment horizontal="center" vertical="center" wrapText="1"/>
    </xf>
    <xf numFmtId="38" fontId="16" fillId="18" borderId="10" xfId="2" applyNumberFormat="1" applyFont="1" applyFill="1" applyBorder="1" applyAlignment="1">
      <alignment horizontal="center" vertical="center" wrapText="1"/>
    </xf>
    <xf numFmtId="178" fontId="16" fillId="18" borderId="10" xfId="3" applyNumberFormat="1" applyFont="1" applyFill="1" applyBorder="1" applyAlignment="1">
      <alignment horizontal="center" vertical="center"/>
    </xf>
    <xf numFmtId="176" fontId="12" fillId="5" borderId="2" xfId="2" applyNumberFormat="1" applyFont="1" applyFill="1" applyBorder="1" applyAlignment="1">
      <alignment vertical="center"/>
    </xf>
    <xf numFmtId="176" fontId="12" fillId="5" borderId="2" xfId="2" applyNumberFormat="1" applyFont="1" applyFill="1" applyBorder="1" applyAlignment="1">
      <alignment horizontal="center" vertical="center" wrapText="1"/>
    </xf>
    <xf numFmtId="176" fontId="12" fillId="5" borderId="2" xfId="6" applyNumberFormat="1" applyFont="1" applyFill="1" applyBorder="1" applyAlignment="1">
      <alignment horizontal="center" vertical="center" wrapText="1"/>
    </xf>
    <xf numFmtId="0" fontId="12" fillId="5" borderId="7" xfId="2" applyFont="1" applyFill="1" applyBorder="1" applyAlignment="1">
      <alignment horizontal="centerContinuous" vertical="center"/>
    </xf>
    <xf numFmtId="178" fontId="16" fillId="5" borderId="8" xfId="2" applyNumberFormat="1" applyFont="1" applyFill="1" applyBorder="1" applyAlignment="1">
      <alignment horizontal="center" vertical="center"/>
    </xf>
    <xf numFmtId="178" fontId="16" fillId="5" borderId="10" xfId="2" applyNumberFormat="1" applyFont="1" applyFill="1" applyBorder="1" applyAlignment="1">
      <alignment horizontal="center" vertical="center" wrapText="1"/>
    </xf>
    <xf numFmtId="0" fontId="16" fillId="5" borderId="10" xfId="6" applyNumberFormat="1" applyFont="1" applyFill="1" applyBorder="1" applyAlignment="1">
      <alignment horizontal="center" vertical="center" wrapText="1"/>
    </xf>
    <xf numFmtId="0" fontId="17" fillId="5" borderId="11" xfId="3" applyFont="1" applyFill="1" applyBorder="1" applyAlignment="1">
      <alignment horizontal="center" vertical="center" wrapText="1"/>
    </xf>
    <xf numFmtId="0" fontId="17" fillId="5" borderId="11" xfId="2" applyFont="1" applyFill="1" applyBorder="1" applyAlignment="1">
      <alignment horizontal="center" vertical="center" wrapText="1"/>
    </xf>
    <xf numFmtId="9" fontId="17" fillId="5" borderId="11" xfId="6" applyFont="1" applyFill="1" applyBorder="1" applyAlignment="1">
      <alignment horizontal="center" vertical="center" wrapText="1"/>
    </xf>
    <xf numFmtId="41" fontId="17" fillId="6" borderId="11" xfId="2" applyNumberFormat="1" applyFont="1" applyFill="1" applyBorder="1" applyAlignment="1">
      <alignment horizontal="center" vertical="center" wrapText="1"/>
    </xf>
    <xf numFmtId="0" fontId="16" fillId="5" borderId="9" xfId="2" applyFont="1" applyFill="1" applyBorder="1" applyAlignment="1">
      <alignment horizontal="center" vertical="center" wrapText="1"/>
    </xf>
    <xf numFmtId="0" fontId="16" fillId="5" borderId="11" xfId="2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18" fillId="0" borderId="1" xfId="3" applyNumberFormat="1" applyFont="1" applyBorder="1" applyAlignment="1">
      <alignment horizontal="center" vertical="center"/>
    </xf>
    <xf numFmtId="0" fontId="18" fillId="0" borderId="1" xfId="3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shrinkToFit="1"/>
    </xf>
    <xf numFmtId="178" fontId="12" fillId="14" borderId="1" xfId="2" applyNumberFormat="1" applyFont="1" applyFill="1" applyBorder="1" applyAlignment="1">
      <alignment horizontal="center" vertical="center" wrapText="1"/>
    </xf>
    <xf numFmtId="178" fontId="12" fillId="14" borderId="1" xfId="2" applyNumberFormat="1" applyFont="1" applyFill="1" applyBorder="1" applyAlignment="1">
      <alignment horizontal="center" vertical="center"/>
    </xf>
    <xf numFmtId="0" fontId="16" fillId="3" borderId="9" xfId="2" applyFont="1" applyFill="1" applyBorder="1" applyAlignment="1">
      <alignment horizontal="center" vertical="center" wrapText="1"/>
    </xf>
    <xf numFmtId="0" fontId="16" fillId="3" borderId="11" xfId="2" applyFont="1" applyFill="1" applyBorder="1" applyAlignment="1">
      <alignment horizontal="center" vertical="center" wrapText="1"/>
    </xf>
    <xf numFmtId="0" fontId="12" fillId="3" borderId="5" xfId="2" applyFont="1" applyFill="1" applyBorder="1" applyAlignment="1">
      <alignment horizontal="center" vertical="center" wrapText="1"/>
    </xf>
    <xf numFmtId="0" fontId="16" fillId="9" borderId="9" xfId="2" applyFont="1" applyFill="1" applyBorder="1" applyAlignment="1">
      <alignment horizontal="center" vertical="center" wrapText="1"/>
    </xf>
    <xf numFmtId="0" fontId="16" fillId="9" borderId="11" xfId="2" applyFont="1" applyFill="1" applyBorder="1" applyAlignment="1">
      <alignment horizontal="center" vertical="center" wrapText="1"/>
    </xf>
    <xf numFmtId="0" fontId="16" fillId="18" borderId="9" xfId="2" applyFont="1" applyFill="1" applyBorder="1" applyAlignment="1">
      <alignment horizontal="center" vertical="center" wrapText="1"/>
    </xf>
    <xf numFmtId="0" fontId="16" fillId="18" borderId="11" xfId="2" applyFont="1" applyFill="1" applyBorder="1" applyAlignment="1">
      <alignment horizontal="center" vertical="center" wrapText="1"/>
    </xf>
    <xf numFmtId="0" fontId="22" fillId="15" borderId="1" xfId="3" applyFont="1" applyFill="1" applyBorder="1" applyAlignment="1">
      <alignment horizontal="center" vertical="center"/>
    </xf>
    <xf numFmtId="0" fontId="18" fillId="0" borderId="3" xfId="3" applyNumberFormat="1" applyFont="1" applyBorder="1" applyAlignment="1">
      <alignment horizontal="center" vertical="center"/>
    </xf>
    <xf numFmtId="0" fontId="12" fillId="14" borderId="1" xfId="2" applyFont="1" applyFill="1" applyBorder="1" applyAlignment="1">
      <alignment horizontal="center" vertical="center"/>
    </xf>
  </cellXfs>
  <cellStyles count="9">
    <cellStyle name="백분율 2" xfId="4"/>
    <cellStyle name="백분율 2 2" xfId="6"/>
    <cellStyle name="쉼표 [0] 2" xfId="7"/>
    <cellStyle name="표준" xfId="0" builtinId="0"/>
    <cellStyle name="표준 2" xfId="2"/>
    <cellStyle name="표준 2 2" xfId="3"/>
    <cellStyle name="표준 3" xfId="5"/>
    <cellStyle name="표준 4" xfId="1"/>
    <cellStyle name="표준 5" xfId="8"/>
  </cellStyles>
  <dxfs count="2">
    <dxf>
      <font>
        <b/>
        <i val="0"/>
        <sz val="11"/>
        <color theme="1"/>
        <name val="굴림"/>
        <scheme val="none"/>
      </font>
      <border>
        <bottom style="thin">
          <color theme="4"/>
        </bottom>
        <vertical/>
        <horizontal/>
      </border>
    </dxf>
    <dxf>
      <font>
        <b/>
        <i val="0"/>
        <sz val="10"/>
        <color theme="1"/>
        <name val="굴림"/>
        <scheme val="none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>
      <tableStyleElement type="wholeTable" dxfId="1"/>
      <tableStyleElement type="headerRow" dxfId="0"/>
    </tableStyle>
  </tableStyles>
  <colors>
    <mruColors>
      <color rgb="FF0000FF"/>
      <color rgb="FFCCC1D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1"/>
            <color rgb="FF828282"/>
            <name val="굴림"/>
            <scheme val="none"/>
          </font>
          <fill>
            <patternFill patternType="solid">
              <fgColor theme="4" tint="0.79995117038483843"/>
              <bgColor theme="0" tint="-0.149967955565050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1"/>
            <color theme="0"/>
            <name val="굴림"/>
          </font>
          <fill>
            <patternFill patternType="solid">
              <fgColor theme="4" tint="0.59999389629810485"/>
              <bgColor rgb="FF00206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1"/>
            <color theme="0"/>
            <name val="굴림"/>
            <scheme val="none"/>
          </font>
          <fill>
            <patternFill patternType="solid">
              <fgColor rgb="FFFFFFFF"/>
              <bgColor theme="0" tint="-4.9989318521683403E-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sz val="11"/>
            <color theme="0"/>
            <name val="굴림"/>
            <scheme val="none"/>
          </font>
          <fill>
            <patternFill patternType="solid">
              <fgColor rgb="FFFFFFFF"/>
              <bgColor theme="0" tint="-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 2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24"/>
  <sheetViews>
    <sheetView tabSelected="1" zoomScale="55" zoomScaleNormal="55" zoomScaleSheetLayoutView="70" workbookViewId="0">
      <pane xSplit="2" ySplit="6" topLeftCell="C7" activePane="bottomRight" state="frozen"/>
      <selection pane="topRight"/>
      <selection pane="bottomLeft"/>
      <selection pane="bottomRight" activeCell="B2" sqref="B2"/>
    </sheetView>
  </sheetViews>
  <sheetFormatPr defaultRowHeight="16.5"/>
  <cols>
    <col min="1" max="1" width="22.75" style="2" customWidth="1"/>
    <col min="2" max="2" width="42.375" style="2" customWidth="1"/>
    <col min="3" max="3" width="15.625" style="61" customWidth="1"/>
    <col min="4" max="6" width="15.625" style="62" customWidth="1"/>
    <col min="7" max="7" width="15.625" style="64" customWidth="1"/>
    <col min="8" max="8" width="15.625" style="63" customWidth="1"/>
    <col min="9" max="9" width="45.625" style="15" customWidth="1"/>
    <col min="10" max="10" width="15.625" style="30" customWidth="1"/>
    <col min="11" max="13" width="15.625" style="62" customWidth="1"/>
    <col min="14" max="14" width="15.625" style="64" customWidth="1"/>
    <col min="15" max="15" width="15.625" style="63" customWidth="1"/>
    <col min="16" max="16" width="45.625" style="30" customWidth="1"/>
    <col min="17" max="19" width="15.625" style="62" customWidth="1"/>
    <col min="20" max="20" width="15.625" style="64" customWidth="1"/>
    <col min="21" max="21" width="15.625" style="63" customWidth="1"/>
    <col min="22" max="22" width="45.625" style="30" customWidth="1"/>
    <col min="23" max="25" width="15.625" style="62" customWidth="1"/>
    <col min="26" max="26" width="15.625" style="64" customWidth="1"/>
    <col min="27" max="27" width="15.625" style="63" customWidth="1"/>
    <col min="28" max="28" width="45.625" style="30" customWidth="1"/>
    <col min="29" max="16384" width="9" style="2"/>
  </cols>
  <sheetData>
    <row r="1" spans="1:37" ht="28.5" customHeight="1">
      <c r="A1" s="1" t="s">
        <v>195</v>
      </c>
      <c r="B1" s="1"/>
      <c r="C1" s="16"/>
      <c r="D1" s="17"/>
      <c r="E1" s="16"/>
      <c r="F1" s="16"/>
      <c r="G1" s="19"/>
      <c r="H1" s="18"/>
      <c r="I1" s="1"/>
      <c r="J1" s="1"/>
      <c r="K1" s="17"/>
      <c r="L1" s="16"/>
      <c r="M1" s="16"/>
      <c r="N1" s="19"/>
      <c r="O1" s="18"/>
      <c r="P1" s="1"/>
      <c r="Q1" s="17"/>
      <c r="R1" s="16"/>
      <c r="S1" s="16"/>
      <c r="T1" s="19"/>
      <c r="U1" s="18"/>
      <c r="V1" s="1"/>
      <c r="W1" s="17"/>
      <c r="X1" s="16"/>
      <c r="Y1" s="16"/>
      <c r="Z1" s="19"/>
      <c r="AA1" s="18"/>
      <c r="AB1" s="1"/>
    </row>
    <row r="2" spans="1:37" ht="15.75" customHeight="1">
      <c r="A2" s="3"/>
      <c r="B2" s="3"/>
      <c r="C2" s="20"/>
      <c r="D2" s="21"/>
      <c r="E2" s="21"/>
      <c r="F2" s="21"/>
      <c r="G2" s="23"/>
      <c r="H2" s="22"/>
      <c r="I2" s="4"/>
      <c r="J2" s="24"/>
      <c r="K2" s="21"/>
      <c r="L2" s="21"/>
      <c r="M2" s="21"/>
      <c r="N2" s="23"/>
      <c r="O2" s="22"/>
      <c r="P2" s="24"/>
      <c r="Q2" s="21"/>
      <c r="R2" s="21"/>
      <c r="S2" s="21"/>
      <c r="T2" s="23"/>
      <c r="U2" s="22"/>
      <c r="V2" s="24"/>
      <c r="W2" s="21"/>
      <c r="X2" s="21"/>
      <c r="Y2" s="21"/>
      <c r="Z2" s="23"/>
      <c r="AA2" s="22"/>
      <c r="AB2" s="24"/>
    </row>
    <row r="3" spans="1:37" s="3" customFormat="1" ht="18.75" customHeight="1">
      <c r="A3" s="5"/>
      <c r="B3" s="5"/>
      <c r="C3" s="25"/>
      <c r="D3" s="25"/>
      <c r="E3" s="25"/>
      <c r="F3" s="25"/>
      <c r="G3" s="27"/>
      <c r="H3" s="26"/>
      <c r="I3" s="6"/>
      <c r="J3" s="5"/>
      <c r="K3" s="25"/>
      <c r="L3" s="25"/>
      <c r="M3" s="25"/>
      <c r="N3" s="27"/>
      <c r="O3" s="26"/>
      <c r="P3" s="124"/>
      <c r="Q3" s="125"/>
      <c r="R3" s="125"/>
      <c r="S3" s="125"/>
      <c r="T3" s="127"/>
      <c r="U3" s="126"/>
      <c r="V3" s="128"/>
      <c r="W3" s="125"/>
      <c r="X3" s="125"/>
      <c r="Y3" s="125"/>
      <c r="Z3" s="127"/>
      <c r="AA3" s="126"/>
      <c r="AB3" s="124"/>
    </row>
    <row r="4" spans="1:37" s="7" customFormat="1" ht="22.5" customHeight="1" thickBot="1">
      <c r="A4" s="299" t="s">
        <v>45</v>
      </c>
      <c r="B4" s="299" t="s">
        <v>123</v>
      </c>
      <c r="C4" s="288" t="s">
        <v>152</v>
      </c>
      <c r="D4" s="152" t="s">
        <v>46</v>
      </c>
      <c r="E4" s="152"/>
      <c r="F4" s="152"/>
      <c r="G4" s="152"/>
      <c r="H4" s="171"/>
      <c r="I4" s="171"/>
      <c r="J4" s="152"/>
      <c r="K4" s="153" t="s">
        <v>47</v>
      </c>
      <c r="L4" s="153"/>
      <c r="M4" s="153"/>
      <c r="N4" s="153"/>
      <c r="O4" s="224"/>
      <c r="P4" s="224"/>
      <c r="Q4" s="154" t="s">
        <v>48</v>
      </c>
      <c r="R4" s="154"/>
      <c r="S4" s="154"/>
      <c r="T4" s="154"/>
      <c r="U4" s="254"/>
      <c r="V4" s="254"/>
      <c r="W4" s="155" t="s">
        <v>49</v>
      </c>
      <c r="X4" s="155"/>
      <c r="Y4" s="155"/>
      <c r="Z4" s="155"/>
      <c r="AA4" s="273"/>
      <c r="AB4" s="273"/>
    </row>
    <row r="5" spans="1:37" s="7" customFormat="1" ht="16.5" customHeight="1" thickTop="1">
      <c r="A5" s="299"/>
      <c r="B5" s="299"/>
      <c r="C5" s="288"/>
      <c r="D5" s="83" t="s">
        <v>183</v>
      </c>
      <c r="E5" s="83"/>
      <c r="F5" s="83"/>
      <c r="G5" s="156"/>
      <c r="H5" s="172" t="s">
        <v>185</v>
      </c>
      <c r="I5" s="290" t="s">
        <v>124</v>
      </c>
      <c r="J5" s="292" t="s">
        <v>125</v>
      </c>
      <c r="K5" s="28" t="s">
        <v>153</v>
      </c>
      <c r="L5" s="28"/>
      <c r="M5" s="28"/>
      <c r="N5" s="212"/>
      <c r="O5" s="225" t="s">
        <v>184</v>
      </c>
      <c r="P5" s="293" t="s">
        <v>124</v>
      </c>
      <c r="Q5" s="109" t="s">
        <v>153</v>
      </c>
      <c r="R5" s="84"/>
      <c r="S5" s="84"/>
      <c r="T5" s="247"/>
      <c r="U5" s="255" t="s">
        <v>184</v>
      </c>
      <c r="V5" s="295" t="s">
        <v>124</v>
      </c>
      <c r="W5" s="121" t="s">
        <v>153</v>
      </c>
      <c r="X5" s="148"/>
      <c r="Y5" s="148"/>
      <c r="Z5" s="270"/>
      <c r="AA5" s="274" t="s">
        <v>184</v>
      </c>
      <c r="AB5" s="281" t="s">
        <v>124</v>
      </c>
    </row>
    <row r="6" spans="1:37" s="7" customFormat="1" ht="29.25" customHeight="1">
      <c r="A6" s="299"/>
      <c r="B6" s="299"/>
      <c r="C6" s="289"/>
      <c r="D6" s="54" t="s">
        <v>154</v>
      </c>
      <c r="E6" s="54" t="s">
        <v>155</v>
      </c>
      <c r="F6" s="54" t="s">
        <v>156</v>
      </c>
      <c r="G6" s="157" t="s">
        <v>157</v>
      </c>
      <c r="H6" s="173" t="s">
        <v>154</v>
      </c>
      <c r="I6" s="291"/>
      <c r="J6" s="292"/>
      <c r="K6" s="55" t="s">
        <v>158</v>
      </c>
      <c r="L6" s="55" t="s">
        <v>159</v>
      </c>
      <c r="M6" s="55" t="s">
        <v>160</v>
      </c>
      <c r="N6" s="213" t="s">
        <v>161</v>
      </c>
      <c r="O6" s="226" t="s">
        <v>158</v>
      </c>
      <c r="P6" s="294"/>
      <c r="Q6" s="222" t="s">
        <v>158</v>
      </c>
      <c r="R6" s="85" t="s">
        <v>159</v>
      </c>
      <c r="S6" s="85" t="s">
        <v>160</v>
      </c>
      <c r="T6" s="248" t="s">
        <v>161</v>
      </c>
      <c r="U6" s="256" t="s">
        <v>158</v>
      </c>
      <c r="V6" s="296"/>
      <c r="W6" s="253" t="s">
        <v>158</v>
      </c>
      <c r="X6" s="149" t="s">
        <v>159</v>
      </c>
      <c r="Y6" s="149" t="s">
        <v>160</v>
      </c>
      <c r="Z6" s="271" t="s">
        <v>161</v>
      </c>
      <c r="AA6" s="275" t="s">
        <v>158</v>
      </c>
      <c r="AB6" s="282"/>
    </row>
    <row r="7" spans="1:37" s="29" customFormat="1" ht="41.25" customHeight="1">
      <c r="A7" s="297" t="s">
        <v>162</v>
      </c>
      <c r="B7" s="297"/>
      <c r="C7" s="150">
        <f>SUM(C35,C50,C59,C67,C81,C91,C100,C116,C105,C112,C121,C123)</f>
        <v>3292</v>
      </c>
      <c r="D7" s="150">
        <f>SUM(D35,D50,D59,D67,D81,D91,D100,D116,D105,D112,D121,D123)</f>
        <v>1036</v>
      </c>
      <c r="E7" s="150">
        <f>SUM(E35,E50,E59,E67,E81,E91,E100,E116,E105,E112,E121,E123)</f>
        <v>807</v>
      </c>
      <c r="F7" s="150">
        <f>SUM(F35,F50,F59,F67,F81,F91,F100,F116,F105,F112,F121,F123)</f>
        <v>501</v>
      </c>
      <c r="G7" s="158">
        <f>IFERROR(F7/E7,"")</f>
        <v>0.620817843866171</v>
      </c>
      <c r="H7" s="174">
        <f>SUM(H35,H50,H59,H67,H81,H91,H100,H116,H105,H112,H121,H123)</f>
        <v>1000</v>
      </c>
      <c r="I7" s="175" t="s">
        <v>54</v>
      </c>
      <c r="J7" s="170">
        <f>IFERROR(F7/C7,"")</f>
        <v>0.15218712029161605</v>
      </c>
      <c r="K7" s="150">
        <f>SUM(K35,K50,K59,K67,K81,K91,K100,K116,K105,K112,K121,K123)</f>
        <v>977</v>
      </c>
      <c r="L7" s="150">
        <f>SUM(L35,L50,L59,L67,L81,L91,L100,L116,L105,L112,L121,L123)</f>
        <v>417</v>
      </c>
      <c r="M7" s="150">
        <f>SUM(M35,M50,M59,M67,M81,M91,M100,M116,M105,M112,M121,M123)</f>
        <v>305</v>
      </c>
      <c r="N7" s="158">
        <f>IFERROR(M7/L7,"")</f>
        <v>0.73141486810551559</v>
      </c>
      <c r="O7" s="174">
        <f>SUM(O35,O50,O59,O67,O81,O91,O100,O116,O105,O112,O121,O123)</f>
        <v>896</v>
      </c>
      <c r="P7" s="175" t="s">
        <v>54</v>
      </c>
      <c r="Q7" s="223">
        <f>SUM(Q35,Q50,Q59,Q67,Q81,Q91,Q100,Q116,Q105,Q112,Q121,Q123)</f>
        <v>627</v>
      </c>
      <c r="R7" s="150">
        <f>SUM(R35,R50,R59,R67,R81,R91,R100,R116,R105,R112,R121,R123)</f>
        <v>110</v>
      </c>
      <c r="S7" s="150">
        <f>SUM(S35,S50,S59,S67,S81,S91,S100,S116,S105,S112,S121,S123)</f>
        <v>98</v>
      </c>
      <c r="T7" s="158">
        <f>IFERROR(S7/R7,"")</f>
        <v>0.89090909090909087</v>
      </c>
      <c r="U7" s="174">
        <f>SUM(U35,U50,U59,U67,U81,U91,U100,U116,U105,U112,U121,U123)</f>
        <v>304</v>
      </c>
      <c r="V7" s="175" t="s">
        <v>54</v>
      </c>
      <c r="W7" s="223">
        <f>SUM(W35,W50,W59,W67,W81,W91,W100,W116,W105,W112,W121,W123)</f>
        <v>250</v>
      </c>
      <c r="X7" s="150">
        <f>SUM(X35,X50,X59,X67,X81,X91,X100,X116,X105,X112,X121,X123)</f>
        <v>139</v>
      </c>
      <c r="Y7" s="150">
        <f>SUM(Y35,Y50,Y59,Y67,Y81,Y91,Y100,Y116,Y105,Y112,Y121,Y123)</f>
        <v>108</v>
      </c>
      <c r="Z7" s="158">
        <f>IFERROR(Y7/X7,"")</f>
        <v>0.7769784172661871</v>
      </c>
      <c r="AA7" s="174">
        <f>SUM(AA35,AA50,AA59,AA67,AA81,AA91,AA100,AA116,AA105,AA112,AA121,AA123)</f>
        <v>250</v>
      </c>
      <c r="AB7" s="175" t="s">
        <v>54</v>
      </c>
    </row>
    <row r="8" spans="1:37" ht="20.100000000000001" customHeight="1">
      <c r="A8" s="283" t="s">
        <v>1</v>
      </c>
      <c r="B8" s="8" t="s">
        <v>19</v>
      </c>
      <c r="C8" s="31">
        <v>160</v>
      </c>
      <c r="D8" s="32">
        <v>48</v>
      </c>
      <c r="E8" s="54">
        <v>8</v>
      </c>
      <c r="F8" s="54">
        <v>7</v>
      </c>
      <c r="G8" s="157">
        <f t="shared" ref="G8:G71" si="0">IFERROR(F8/E8,"")</f>
        <v>0.875</v>
      </c>
      <c r="H8" s="173">
        <v>48</v>
      </c>
      <c r="I8" s="176" t="s">
        <v>50</v>
      </c>
      <c r="J8" s="97">
        <f>IFERROR(F8/C8,"")</f>
        <v>4.3749999999999997E-2</v>
      </c>
      <c r="K8" s="33">
        <v>10</v>
      </c>
      <c r="L8" s="55">
        <v>2</v>
      </c>
      <c r="M8" s="55">
        <v>2</v>
      </c>
      <c r="N8" s="213">
        <f t="shared" ref="N8:N71" si="1">IFERROR(M8/L8,"")</f>
        <v>1</v>
      </c>
      <c r="O8" s="226">
        <v>10</v>
      </c>
      <c r="P8" s="237" t="s">
        <v>50</v>
      </c>
      <c r="Q8" s="110" t="s">
        <v>54</v>
      </c>
      <c r="R8" s="34" t="s">
        <v>54</v>
      </c>
      <c r="S8" s="34" t="s">
        <v>54</v>
      </c>
      <c r="T8" s="31" t="s">
        <v>54</v>
      </c>
      <c r="U8" s="180" t="s">
        <v>54</v>
      </c>
      <c r="V8" s="257" t="s">
        <v>54</v>
      </c>
      <c r="W8" s="110" t="s">
        <v>54</v>
      </c>
      <c r="X8" s="34" t="s">
        <v>54</v>
      </c>
      <c r="Y8" s="34" t="s">
        <v>54</v>
      </c>
      <c r="Z8" s="160" t="s">
        <v>54</v>
      </c>
      <c r="AA8" s="180" t="s">
        <v>54</v>
      </c>
      <c r="AB8" s="257" t="s">
        <v>54</v>
      </c>
      <c r="AC8" s="30"/>
      <c r="AD8" s="30"/>
      <c r="AE8" s="30"/>
      <c r="AF8" s="30"/>
      <c r="AG8" s="30"/>
      <c r="AH8" s="30"/>
      <c r="AI8" s="30"/>
      <c r="AJ8" s="30"/>
      <c r="AK8" s="30"/>
    </row>
    <row r="9" spans="1:37" ht="20.100000000000001" customHeight="1">
      <c r="A9" s="283"/>
      <c r="B9" s="8" t="s">
        <v>52</v>
      </c>
      <c r="C9" s="31">
        <v>66</v>
      </c>
      <c r="D9" s="32">
        <v>21</v>
      </c>
      <c r="E9" s="54">
        <v>4</v>
      </c>
      <c r="F9" s="54">
        <v>1</v>
      </c>
      <c r="G9" s="157">
        <f t="shared" si="0"/>
        <v>0.25</v>
      </c>
      <c r="H9" s="173">
        <v>21</v>
      </c>
      <c r="I9" s="176" t="s">
        <v>58</v>
      </c>
      <c r="J9" s="97">
        <f>IFERROR(F9/C9,"")</f>
        <v>1.5151515151515152E-2</v>
      </c>
      <c r="K9" s="33">
        <v>5</v>
      </c>
      <c r="L9" s="55">
        <v>1</v>
      </c>
      <c r="M9" s="55">
        <v>0</v>
      </c>
      <c r="N9" s="213">
        <f t="shared" si="1"/>
        <v>0</v>
      </c>
      <c r="O9" s="226">
        <v>5</v>
      </c>
      <c r="P9" s="237" t="s">
        <v>53</v>
      </c>
      <c r="Q9" s="110" t="s">
        <v>54</v>
      </c>
      <c r="R9" s="34" t="s">
        <v>54</v>
      </c>
      <c r="S9" s="34" t="s">
        <v>54</v>
      </c>
      <c r="T9" s="31" t="s">
        <v>54</v>
      </c>
      <c r="U9" s="180" t="s">
        <v>54</v>
      </c>
      <c r="V9" s="257" t="s">
        <v>54</v>
      </c>
      <c r="W9" s="110" t="s">
        <v>54</v>
      </c>
      <c r="X9" s="34" t="s">
        <v>54</v>
      </c>
      <c r="Y9" s="34" t="s">
        <v>54</v>
      </c>
      <c r="Z9" s="160" t="s">
        <v>54</v>
      </c>
      <c r="AA9" s="180" t="s">
        <v>54</v>
      </c>
      <c r="AB9" s="257" t="s">
        <v>54</v>
      </c>
      <c r="AC9" s="30"/>
      <c r="AD9" s="30"/>
      <c r="AE9" s="30"/>
      <c r="AF9" s="30"/>
      <c r="AG9" s="30"/>
      <c r="AH9" s="30"/>
      <c r="AI9" s="30"/>
      <c r="AJ9" s="30"/>
      <c r="AK9" s="30"/>
    </row>
    <row r="10" spans="1:37" ht="20.100000000000001" customHeight="1">
      <c r="A10" s="283"/>
      <c r="B10" s="93" t="s">
        <v>55</v>
      </c>
      <c r="C10" s="31" t="s">
        <v>54</v>
      </c>
      <c r="D10" s="31" t="s">
        <v>54</v>
      </c>
      <c r="E10" s="31" t="s">
        <v>54</v>
      </c>
      <c r="F10" s="31" t="s">
        <v>54</v>
      </c>
      <c r="G10" s="31" t="s">
        <v>54</v>
      </c>
      <c r="H10" s="177" t="s">
        <v>54</v>
      </c>
      <c r="I10" s="178" t="s">
        <v>54</v>
      </c>
      <c r="J10" s="98" t="s">
        <v>54</v>
      </c>
      <c r="K10" s="31" t="s">
        <v>54</v>
      </c>
      <c r="L10" s="31" t="s">
        <v>54</v>
      </c>
      <c r="M10" s="31" t="s">
        <v>54</v>
      </c>
      <c r="N10" s="31" t="s">
        <v>54</v>
      </c>
      <c r="O10" s="177" t="s">
        <v>54</v>
      </c>
      <c r="P10" s="178" t="s">
        <v>54</v>
      </c>
      <c r="Q10" s="111">
        <v>5</v>
      </c>
      <c r="R10" s="85">
        <v>1</v>
      </c>
      <c r="S10" s="85">
        <v>0</v>
      </c>
      <c r="T10" s="248">
        <f t="shared" ref="T8:T71" si="2">IFERROR(S10/R10,"")</f>
        <v>0</v>
      </c>
      <c r="U10" s="256">
        <v>0</v>
      </c>
      <c r="V10" s="258" t="s">
        <v>53</v>
      </c>
      <c r="W10" s="110" t="s">
        <v>54</v>
      </c>
      <c r="X10" s="34" t="s">
        <v>54</v>
      </c>
      <c r="Y10" s="34" t="s">
        <v>54</v>
      </c>
      <c r="Z10" s="160" t="s">
        <v>54</v>
      </c>
      <c r="AA10" s="180" t="s">
        <v>54</v>
      </c>
      <c r="AB10" s="257" t="s">
        <v>54</v>
      </c>
      <c r="AC10" s="30"/>
      <c r="AD10" s="30"/>
      <c r="AE10" s="30"/>
      <c r="AF10" s="30"/>
      <c r="AG10" s="30"/>
      <c r="AH10" s="30"/>
      <c r="AI10" s="30"/>
      <c r="AJ10" s="30"/>
      <c r="AK10" s="30"/>
    </row>
    <row r="11" spans="1:37" ht="20.100000000000001" customHeight="1">
      <c r="A11" s="283"/>
      <c r="B11" s="8" t="s">
        <v>36</v>
      </c>
      <c r="C11" s="31">
        <v>65</v>
      </c>
      <c r="D11" s="32">
        <v>20</v>
      </c>
      <c r="E11" s="54">
        <v>0</v>
      </c>
      <c r="F11" s="54">
        <v>0</v>
      </c>
      <c r="G11" s="157" t="str">
        <f t="shared" si="0"/>
        <v/>
      </c>
      <c r="H11" s="173">
        <v>20</v>
      </c>
      <c r="I11" s="179" t="s">
        <v>50</v>
      </c>
      <c r="J11" s="97">
        <f>IFERROR(F11/C11,"")</f>
        <v>0</v>
      </c>
      <c r="K11" s="33">
        <v>9</v>
      </c>
      <c r="L11" s="55">
        <v>0</v>
      </c>
      <c r="M11" s="55">
        <v>0</v>
      </c>
      <c r="N11" s="213" t="str">
        <f t="shared" si="1"/>
        <v/>
      </c>
      <c r="O11" s="226">
        <v>9</v>
      </c>
      <c r="P11" s="237" t="s">
        <v>62</v>
      </c>
      <c r="Q11" s="110" t="s">
        <v>54</v>
      </c>
      <c r="R11" s="34" t="s">
        <v>54</v>
      </c>
      <c r="S11" s="34" t="s">
        <v>54</v>
      </c>
      <c r="T11" s="31" t="s">
        <v>54</v>
      </c>
      <c r="U11" s="180" t="s">
        <v>54</v>
      </c>
      <c r="V11" s="257" t="s">
        <v>54</v>
      </c>
      <c r="W11" s="110" t="s">
        <v>54</v>
      </c>
      <c r="X11" s="34" t="s">
        <v>54</v>
      </c>
      <c r="Y11" s="34" t="s">
        <v>54</v>
      </c>
      <c r="Z11" s="160" t="s">
        <v>54</v>
      </c>
      <c r="AA11" s="180" t="s">
        <v>54</v>
      </c>
      <c r="AB11" s="257" t="s">
        <v>54</v>
      </c>
      <c r="AC11" s="30"/>
      <c r="AD11" s="30"/>
      <c r="AE11" s="30"/>
      <c r="AF11" s="30"/>
      <c r="AG11" s="30"/>
      <c r="AH11" s="30"/>
      <c r="AI11" s="30"/>
      <c r="AJ11" s="30"/>
      <c r="AK11" s="30"/>
    </row>
    <row r="12" spans="1:37" ht="20.100000000000001" customHeight="1">
      <c r="A12" s="283"/>
      <c r="B12" s="92" t="s">
        <v>56</v>
      </c>
      <c r="C12" s="31" t="s">
        <v>54</v>
      </c>
      <c r="D12" s="31" t="s">
        <v>54</v>
      </c>
      <c r="E12" s="31" t="s">
        <v>54</v>
      </c>
      <c r="F12" s="31" t="s">
        <v>54</v>
      </c>
      <c r="G12" s="31" t="s">
        <v>54</v>
      </c>
      <c r="H12" s="177" t="s">
        <v>54</v>
      </c>
      <c r="I12" s="178" t="s">
        <v>54</v>
      </c>
      <c r="J12" s="98" t="s">
        <v>54</v>
      </c>
      <c r="K12" s="31" t="s">
        <v>54</v>
      </c>
      <c r="L12" s="31" t="s">
        <v>54</v>
      </c>
      <c r="M12" s="31" t="s">
        <v>54</v>
      </c>
      <c r="N12" s="31" t="s">
        <v>54</v>
      </c>
      <c r="O12" s="177" t="s">
        <v>54</v>
      </c>
      <c r="P12" s="178" t="s">
        <v>54</v>
      </c>
      <c r="Q12" s="111">
        <v>2</v>
      </c>
      <c r="R12" s="85">
        <v>0</v>
      </c>
      <c r="S12" s="85">
        <v>0</v>
      </c>
      <c r="T12" s="248" t="str">
        <f t="shared" si="2"/>
        <v/>
      </c>
      <c r="U12" s="256">
        <v>2</v>
      </c>
      <c r="V12" s="258" t="s">
        <v>57</v>
      </c>
      <c r="W12" s="110" t="s">
        <v>54</v>
      </c>
      <c r="X12" s="34" t="s">
        <v>54</v>
      </c>
      <c r="Y12" s="34" t="s">
        <v>54</v>
      </c>
      <c r="Z12" s="160" t="s">
        <v>54</v>
      </c>
      <c r="AA12" s="180" t="s">
        <v>54</v>
      </c>
      <c r="AB12" s="257" t="s">
        <v>54</v>
      </c>
      <c r="AC12" s="30"/>
      <c r="AD12" s="30"/>
      <c r="AE12" s="30"/>
      <c r="AF12" s="30"/>
      <c r="AG12" s="30"/>
      <c r="AH12" s="30"/>
      <c r="AI12" s="30"/>
      <c r="AJ12" s="30"/>
      <c r="AK12" s="30"/>
    </row>
    <row r="13" spans="1:37" ht="20.100000000000001" customHeight="1">
      <c r="A13" s="283"/>
      <c r="B13" s="8" t="s">
        <v>28</v>
      </c>
      <c r="C13" s="31">
        <v>53</v>
      </c>
      <c r="D13" s="32">
        <v>8</v>
      </c>
      <c r="E13" s="54">
        <v>55</v>
      </c>
      <c r="F13" s="54">
        <v>8</v>
      </c>
      <c r="G13" s="157">
        <f t="shared" si="0"/>
        <v>0.14545454545454545</v>
      </c>
      <c r="H13" s="173">
        <v>8</v>
      </c>
      <c r="I13" s="176" t="s">
        <v>126</v>
      </c>
      <c r="J13" s="97">
        <f>IFERROR(F13/C13,"")</f>
        <v>0.15094339622641509</v>
      </c>
      <c r="K13" s="33">
        <v>5</v>
      </c>
      <c r="L13" s="55">
        <v>11</v>
      </c>
      <c r="M13" s="55">
        <v>5</v>
      </c>
      <c r="N13" s="213">
        <f t="shared" si="1"/>
        <v>0.45454545454545453</v>
      </c>
      <c r="O13" s="226">
        <v>5</v>
      </c>
      <c r="P13" s="227" t="s">
        <v>58</v>
      </c>
      <c r="Q13" s="110" t="s">
        <v>54</v>
      </c>
      <c r="R13" s="34" t="s">
        <v>54</v>
      </c>
      <c r="S13" s="34" t="s">
        <v>54</v>
      </c>
      <c r="T13" s="31" t="s">
        <v>54</v>
      </c>
      <c r="U13" s="180" t="s">
        <v>54</v>
      </c>
      <c r="V13" s="257" t="s">
        <v>54</v>
      </c>
      <c r="W13" s="110" t="s">
        <v>54</v>
      </c>
      <c r="X13" s="34" t="s">
        <v>54</v>
      </c>
      <c r="Y13" s="34" t="s">
        <v>54</v>
      </c>
      <c r="Z13" s="160" t="s">
        <v>54</v>
      </c>
      <c r="AA13" s="180" t="s">
        <v>54</v>
      </c>
      <c r="AB13" s="257" t="s">
        <v>54</v>
      </c>
      <c r="AC13" s="30"/>
      <c r="AD13" s="30"/>
      <c r="AE13" s="30"/>
      <c r="AF13" s="30"/>
      <c r="AG13" s="30"/>
      <c r="AH13" s="30"/>
      <c r="AI13" s="30"/>
      <c r="AJ13" s="30"/>
      <c r="AK13" s="30"/>
    </row>
    <row r="14" spans="1:37" ht="20.100000000000001" customHeight="1">
      <c r="A14" s="283"/>
      <c r="B14" s="8" t="s">
        <v>14</v>
      </c>
      <c r="C14" s="31">
        <v>115</v>
      </c>
      <c r="D14" s="32">
        <v>35</v>
      </c>
      <c r="E14" s="54">
        <v>21</v>
      </c>
      <c r="F14" s="54">
        <v>9</v>
      </c>
      <c r="G14" s="157">
        <f t="shared" si="0"/>
        <v>0.42857142857142855</v>
      </c>
      <c r="H14" s="173">
        <v>26</v>
      </c>
      <c r="I14" s="176" t="s">
        <v>59</v>
      </c>
      <c r="J14" s="97">
        <f>IFERROR(F14/C14,"")</f>
        <v>7.8260869565217397E-2</v>
      </c>
      <c r="K14" s="33">
        <v>12</v>
      </c>
      <c r="L14" s="55">
        <v>1</v>
      </c>
      <c r="M14" s="55">
        <v>0</v>
      </c>
      <c r="N14" s="213">
        <f t="shared" si="1"/>
        <v>0</v>
      </c>
      <c r="O14" s="226">
        <v>12</v>
      </c>
      <c r="P14" s="227" t="s">
        <v>59</v>
      </c>
      <c r="Q14" s="110" t="s">
        <v>54</v>
      </c>
      <c r="R14" s="34" t="s">
        <v>54</v>
      </c>
      <c r="S14" s="34" t="s">
        <v>54</v>
      </c>
      <c r="T14" s="31" t="s">
        <v>54</v>
      </c>
      <c r="U14" s="180" t="s">
        <v>54</v>
      </c>
      <c r="V14" s="257" t="s">
        <v>54</v>
      </c>
      <c r="W14" s="110" t="s">
        <v>54</v>
      </c>
      <c r="X14" s="34" t="s">
        <v>54</v>
      </c>
      <c r="Y14" s="34" t="s">
        <v>54</v>
      </c>
      <c r="Z14" s="160" t="s">
        <v>54</v>
      </c>
      <c r="AA14" s="180" t="s">
        <v>54</v>
      </c>
      <c r="AB14" s="257" t="s">
        <v>54</v>
      </c>
      <c r="AC14" s="30"/>
      <c r="AD14" s="30"/>
      <c r="AE14" s="30"/>
      <c r="AF14" s="30"/>
      <c r="AG14" s="30"/>
      <c r="AH14" s="30"/>
      <c r="AI14" s="30"/>
      <c r="AJ14" s="30"/>
      <c r="AK14" s="30"/>
    </row>
    <row r="15" spans="1:37" ht="20.100000000000001" customHeight="1">
      <c r="A15" s="283"/>
      <c r="B15" s="35" t="s">
        <v>60</v>
      </c>
      <c r="C15" s="31" t="s">
        <v>54</v>
      </c>
      <c r="D15" s="34" t="s">
        <v>54</v>
      </c>
      <c r="E15" s="34" t="s">
        <v>54</v>
      </c>
      <c r="F15" s="34" t="s">
        <v>54</v>
      </c>
      <c r="G15" s="160" t="str">
        <f t="shared" si="0"/>
        <v/>
      </c>
      <c r="H15" s="180" t="s">
        <v>54</v>
      </c>
      <c r="I15" s="181" t="s">
        <v>54</v>
      </c>
      <c r="J15" s="95" t="s">
        <v>54</v>
      </c>
      <c r="K15" s="33">
        <v>50</v>
      </c>
      <c r="L15" s="55">
        <v>56</v>
      </c>
      <c r="M15" s="55">
        <v>46</v>
      </c>
      <c r="N15" s="213">
        <f t="shared" si="1"/>
        <v>0.8214285714285714</v>
      </c>
      <c r="O15" s="226">
        <v>0</v>
      </c>
      <c r="P15" s="227" t="s">
        <v>127</v>
      </c>
      <c r="Q15" s="110" t="s">
        <v>54</v>
      </c>
      <c r="R15" s="34" t="s">
        <v>54</v>
      </c>
      <c r="S15" s="34" t="s">
        <v>54</v>
      </c>
      <c r="T15" s="31" t="s">
        <v>54</v>
      </c>
      <c r="U15" s="180" t="s">
        <v>54</v>
      </c>
      <c r="V15" s="257" t="s">
        <v>54</v>
      </c>
      <c r="W15" s="122" t="s">
        <v>54</v>
      </c>
      <c r="X15" s="149">
        <v>12</v>
      </c>
      <c r="Y15" s="149">
        <v>12</v>
      </c>
      <c r="Z15" s="271">
        <f>IFERROR(Y15/X15,"")</f>
        <v>1</v>
      </c>
      <c r="AA15" s="275">
        <v>0</v>
      </c>
      <c r="AB15" s="277" t="s">
        <v>163</v>
      </c>
      <c r="AC15" s="30"/>
      <c r="AD15" s="30"/>
      <c r="AE15" s="30"/>
      <c r="AF15" s="30"/>
      <c r="AG15" s="30"/>
      <c r="AH15" s="30"/>
      <c r="AI15" s="30"/>
      <c r="AJ15" s="30"/>
      <c r="AK15" s="30"/>
    </row>
    <row r="16" spans="1:37" ht="20.100000000000001" customHeight="1">
      <c r="A16" s="283"/>
      <c r="B16" s="9" t="s">
        <v>61</v>
      </c>
      <c r="C16" s="31">
        <v>49</v>
      </c>
      <c r="D16" s="32">
        <v>15</v>
      </c>
      <c r="E16" s="54">
        <v>2</v>
      </c>
      <c r="F16" s="54">
        <v>2</v>
      </c>
      <c r="G16" s="157">
        <f t="shared" si="0"/>
        <v>1</v>
      </c>
      <c r="H16" s="173">
        <v>13</v>
      </c>
      <c r="I16" s="176" t="s">
        <v>62</v>
      </c>
      <c r="J16" s="97">
        <f>IFERROR(F16/C16,"")</f>
        <v>4.0816326530612242E-2</v>
      </c>
      <c r="K16" s="33">
        <v>9</v>
      </c>
      <c r="L16" s="55">
        <v>0</v>
      </c>
      <c r="M16" s="55">
        <v>0</v>
      </c>
      <c r="N16" s="213" t="str">
        <f t="shared" si="1"/>
        <v/>
      </c>
      <c r="O16" s="226">
        <v>9</v>
      </c>
      <c r="P16" s="237" t="s">
        <v>62</v>
      </c>
      <c r="Q16" s="110" t="s">
        <v>54</v>
      </c>
      <c r="R16" s="34" t="s">
        <v>54</v>
      </c>
      <c r="S16" s="34" t="s">
        <v>54</v>
      </c>
      <c r="T16" s="31" t="s">
        <v>54</v>
      </c>
      <c r="U16" s="180" t="s">
        <v>54</v>
      </c>
      <c r="V16" s="257" t="s">
        <v>54</v>
      </c>
      <c r="W16" s="110" t="s">
        <v>54</v>
      </c>
      <c r="X16" s="34" t="s">
        <v>54</v>
      </c>
      <c r="Y16" s="34" t="s">
        <v>54</v>
      </c>
      <c r="Z16" s="160" t="s">
        <v>54</v>
      </c>
      <c r="AA16" s="180" t="s">
        <v>54</v>
      </c>
      <c r="AB16" s="257" t="s">
        <v>54</v>
      </c>
      <c r="AC16" s="30"/>
      <c r="AD16" s="30"/>
      <c r="AE16" s="30"/>
      <c r="AF16" s="30"/>
      <c r="AG16" s="30"/>
      <c r="AH16" s="30"/>
      <c r="AI16" s="30"/>
      <c r="AJ16" s="30"/>
      <c r="AK16" s="30"/>
    </row>
    <row r="17" spans="1:37" ht="20.100000000000001" customHeight="1">
      <c r="A17" s="283"/>
      <c r="B17" s="8" t="s">
        <v>23</v>
      </c>
      <c r="C17" s="31">
        <v>109</v>
      </c>
      <c r="D17" s="32">
        <v>33</v>
      </c>
      <c r="E17" s="54">
        <v>11</v>
      </c>
      <c r="F17" s="54">
        <v>5</v>
      </c>
      <c r="G17" s="157">
        <f t="shared" si="0"/>
        <v>0.45454545454545453</v>
      </c>
      <c r="H17" s="173">
        <v>28</v>
      </c>
      <c r="I17" s="182" t="s">
        <v>62</v>
      </c>
      <c r="J17" s="97">
        <f>IFERROR(F17/C17,"")</f>
        <v>4.5871559633027525E-2</v>
      </c>
      <c r="K17" s="33">
        <v>33</v>
      </c>
      <c r="L17" s="55">
        <v>1</v>
      </c>
      <c r="M17" s="55">
        <v>1</v>
      </c>
      <c r="N17" s="213">
        <f t="shared" si="1"/>
        <v>1</v>
      </c>
      <c r="O17" s="226">
        <v>32</v>
      </c>
      <c r="P17" s="237" t="s">
        <v>62</v>
      </c>
      <c r="Q17" s="110" t="s">
        <v>54</v>
      </c>
      <c r="R17" s="34" t="s">
        <v>54</v>
      </c>
      <c r="S17" s="34" t="s">
        <v>54</v>
      </c>
      <c r="T17" s="31" t="s">
        <v>54</v>
      </c>
      <c r="U17" s="180" t="s">
        <v>54</v>
      </c>
      <c r="V17" s="257" t="s">
        <v>54</v>
      </c>
      <c r="W17" s="110" t="s">
        <v>54</v>
      </c>
      <c r="X17" s="34" t="s">
        <v>54</v>
      </c>
      <c r="Y17" s="34" t="s">
        <v>54</v>
      </c>
      <c r="Z17" s="160" t="s">
        <v>54</v>
      </c>
      <c r="AA17" s="180" t="s">
        <v>54</v>
      </c>
      <c r="AB17" s="257" t="s">
        <v>54</v>
      </c>
      <c r="AC17" s="30"/>
      <c r="AD17" s="30"/>
      <c r="AE17" s="30"/>
      <c r="AF17" s="30"/>
      <c r="AG17" s="30"/>
      <c r="AH17" s="30"/>
      <c r="AI17" s="30"/>
      <c r="AJ17" s="30"/>
      <c r="AK17" s="30"/>
    </row>
    <row r="18" spans="1:37" ht="20.100000000000001" customHeight="1">
      <c r="A18" s="283"/>
      <c r="B18" s="35" t="s">
        <v>63</v>
      </c>
      <c r="C18" s="31" t="s">
        <v>54</v>
      </c>
      <c r="D18" s="31" t="s">
        <v>54</v>
      </c>
      <c r="E18" s="31" t="s">
        <v>54</v>
      </c>
      <c r="F18" s="31" t="s">
        <v>54</v>
      </c>
      <c r="G18" s="159" t="str">
        <f t="shared" si="0"/>
        <v/>
      </c>
      <c r="H18" s="177" t="s">
        <v>54</v>
      </c>
      <c r="I18" s="178" t="s">
        <v>54</v>
      </c>
      <c r="J18" s="98" t="s">
        <v>54</v>
      </c>
      <c r="K18" s="36">
        <v>50</v>
      </c>
      <c r="L18" s="59">
        <v>60</v>
      </c>
      <c r="M18" s="59">
        <v>37</v>
      </c>
      <c r="N18" s="214">
        <f t="shared" si="1"/>
        <v>0.6166666666666667</v>
      </c>
      <c r="O18" s="228" t="s">
        <v>187</v>
      </c>
      <c r="P18" s="232" t="s">
        <v>164</v>
      </c>
      <c r="Q18" s="110" t="s">
        <v>54</v>
      </c>
      <c r="R18" s="34" t="s">
        <v>54</v>
      </c>
      <c r="S18" s="34" t="s">
        <v>54</v>
      </c>
      <c r="T18" s="31" t="s">
        <v>54</v>
      </c>
      <c r="U18" s="180" t="s">
        <v>54</v>
      </c>
      <c r="V18" s="257" t="s">
        <v>54</v>
      </c>
      <c r="W18" s="122" t="s">
        <v>54</v>
      </c>
      <c r="X18" s="149">
        <v>63</v>
      </c>
      <c r="Y18" s="149">
        <v>33</v>
      </c>
      <c r="Z18" s="271">
        <f>IFERROR(Y18/X18,"")</f>
        <v>0.52380952380952384</v>
      </c>
      <c r="AA18" s="275" t="s">
        <v>187</v>
      </c>
      <c r="AB18" s="277" t="s">
        <v>164</v>
      </c>
      <c r="AC18" s="30"/>
      <c r="AD18" s="30"/>
      <c r="AE18" s="30"/>
      <c r="AF18" s="30"/>
      <c r="AG18" s="30"/>
      <c r="AH18" s="30"/>
      <c r="AI18" s="30"/>
      <c r="AJ18" s="30"/>
      <c r="AK18" s="30"/>
    </row>
    <row r="19" spans="1:37" ht="20.100000000000001" customHeight="1">
      <c r="A19" s="283"/>
      <c r="B19" s="9" t="s">
        <v>64</v>
      </c>
      <c r="C19" s="31">
        <v>71</v>
      </c>
      <c r="D19" s="32">
        <v>22</v>
      </c>
      <c r="E19" s="54">
        <v>4</v>
      </c>
      <c r="F19" s="54">
        <v>4</v>
      </c>
      <c r="G19" s="157">
        <f t="shared" si="0"/>
        <v>1</v>
      </c>
      <c r="H19" s="173">
        <v>22</v>
      </c>
      <c r="I19" s="176" t="s">
        <v>78</v>
      </c>
      <c r="J19" s="97">
        <f>IFERROR(F19/C19,"")</f>
        <v>5.6338028169014086E-2</v>
      </c>
      <c r="K19" s="33">
        <v>22</v>
      </c>
      <c r="L19" s="55">
        <v>1</v>
      </c>
      <c r="M19" s="55">
        <v>1</v>
      </c>
      <c r="N19" s="213">
        <f t="shared" si="1"/>
        <v>1</v>
      </c>
      <c r="O19" s="226">
        <v>22</v>
      </c>
      <c r="P19" s="238" t="s">
        <v>78</v>
      </c>
      <c r="Q19" s="110" t="s">
        <v>54</v>
      </c>
      <c r="R19" s="34" t="s">
        <v>54</v>
      </c>
      <c r="S19" s="34" t="s">
        <v>54</v>
      </c>
      <c r="T19" s="31" t="s">
        <v>54</v>
      </c>
      <c r="U19" s="180" t="s">
        <v>54</v>
      </c>
      <c r="V19" s="257" t="s">
        <v>54</v>
      </c>
      <c r="W19" s="110" t="s">
        <v>54</v>
      </c>
      <c r="X19" s="34" t="s">
        <v>54</v>
      </c>
      <c r="Y19" s="34" t="s">
        <v>54</v>
      </c>
      <c r="Z19" s="160" t="s">
        <v>54</v>
      </c>
      <c r="AA19" s="180" t="s">
        <v>54</v>
      </c>
      <c r="AB19" s="257" t="s">
        <v>54</v>
      </c>
      <c r="AC19" s="30"/>
      <c r="AD19" s="30"/>
      <c r="AE19" s="30"/>
      <c r="AF19" s="30"/>
      <c r="AG19" s="30"/>
      <c r="AH19" s="30"/>
      <c r="AI19" s="30"/>
      <c r="AJ19" s="30"/>
      <c r="AK19" s="30"/>
    </row>
    <row r="20" spans="1:37" ht="20.100000000000001" customHeight="1">
      <c r="A20" s="283"/>
      <c r="B20" s="8" t="s">
        <v>40</v>
      </c>
      <c r="C20" s="31">
        <v>47</v>
      </c>
      <c r="D20" s="32">
        <v>14</v>
      </c>
      <c r="E20" s="54">
        <v>3</v>
      </c>
      <c r="F20" s="54">
        <v>3</v>
      </c>
      <c r="G20" s="157">
        <f t="shared" si="0"/>
        <v>1</v>
      </c>
      <c r="H20" s="173">
        <v>14</v>
      </c>
      <c r="I20" s="176" t="s">
        <v>66</v>
      </c>
      <c r="J20" s="97">
        <f>IFERROR(F20/C20,"")</f>
        <v>6.3829787234042548E-2</v>
      </c>
      <c r="K20" s="33">
        <v>14</v>
      </c>
      <c r="L20" s="55">
        <v>1</v>
      </c>
      <c r="M20" s="55">
        <v>1</v>
      </c>
      <c r="N20" s="213">
        <f t="shared" si="1"/>
        <v>1</v>
      </c>
      <c r="O20" s="226">
        <v>14</v>
      </c>
      <c r="P20" s="237" t="s">
        <v>66</v>
      </c>
      <c r="Q20" s="110" t="s">
        <v>54</v>
      </c>
      <c r="R20" s="34" t="s">
        <v>54</v>
      </c>
      <c r="S20" s="34" t="s">
        <v>54</v>
      </c>
      <c r="T20" s="31" t="s">
        <v>54</v>
      </c>
      <c r="U20" s="180" t="s">
        <v>54</v>
      </c>
      <c r="V20" s="257" t="s">
        <v>54</v>
      </c>
      <c r="W20" s="110" t="s">
        <v>54</v>
      </c>
      <c r="X20" s="34" t="s">
        <v>54</v>
      </c>
      <c r="Y20" s="34" t="s">
        <v>54</v>
      </c>
      <c r="Z20" s="160" t="s">
        <v>54</v>
      </c>
      <c r="AA20" s="180" t="s">
        <v>54</v>
      </c>
      <c r="AB20" s="257" t="s">
        <v>54</v>
      </c>
      <c r="AC20" s="30"/>
      <c r="AD20" s="30"/>
      <c r="AE20" s="30"/>
      <c r="AF20" s="30"/>
      <c r="AG20" s="30"/>
      <c r="AH20" s="30"/>
      <c r="AI20" s="30"/>
      <c r="AJ20" s="30"/>
      <c r="AK20" s="30"/>
    </row>
    <row r="21" spans="1:37" ht="20.100000000000001" customHeight="1">
      <c r="A21" s="283"/>
      <c r="B21" s="8" t="s">
        <v>67</v>
      </c>
      <c r="C21" s="31">
        <v>40</v>
      </c>
      <c r="D21" s="32">
        <v>4</v>
      </c>
      <c r="E21" s="54">
        <v>4</v>
      </c>
      <c r="F21" s="54">
        <v>4</v>
      </c>
      <c r="G21" s="157">
        <f t="shared" si="0"/>
        <v>1</v>
      </c>
      <c r="H21" s="173">
        <v>4</v>
      </c>
      <c r="I21" s="176" t="s">
        <v>68</v>
      </c>
      <c r="J21" s="97">
        <f>IFERROR(F21/C21,"")</f>
        <v>0.1</v>
      </c>
      <c r="K21" s="33">
        <v>4</v>
      </c>
      <c r="L21" s="55">
        <v>1</v>
      </c>
      <c r="M21" s="55">
        <v>1</v>
      </c>
      <c r="N21" s="213">
        <f t="shared" si="1"/>
        <v>1</v>
      </c>
      <c r="O21" s="226">
        <v>4</v>
      </c>
      <c r="P21" s="237" t="s">
        <v>68</v>
      </c>
      <c r="Q21" s="110" t="s">
        <v>54</v>
      </c>
      <c r="R21" s="34" t="s">
        <v>54</v>
      </c>
      <c r="S21" s="34" t="s">
        <v>54</v>
      </c>
      <c r="T21" s="31" t="s">
        <v>54</v>
      </c>
      <c r="U21" s="180" t="s">
        <v>54</v>
      </c>
      <c r="V21" s="257" t="s">
        <v>54</v>
      </c>
      <c r="W21" s="110" t="s">
        <v>54</v>
      </c>
      <c r="X21" s="34" t="s">
        <v>54</v>
      </c>
      <c r="Y21" s="34" t="s">
        <v>54</v>
      </c>
      <c r="Z21" s="160" t="s">
        <v>54</v>
      </c>
      <c r="AA21" s="180" t="s">
        <v>54</v>
      </c>
      <c r="AB21" s="257" t="s">
        <v>54</v>
      </c>
      <c r="AC21" s="30"/>
      <c r="AD21" s="30"/>
      <c r="AE21" s="30"/>
      <c r="AF21" s="30"/>
      <c r="AG21" s="30"/>
      <c r="AH21" s="30"/>
      <c r="AI21" s="30"/>
      <c r="AJ21" s="30"/>
      <c r="AK21" s="30"/>
    </row>
    <row r="22" spans="1:37" ht="20.100000000000001" customHeight="1">
      <c r="A22" s="283"/>
      <c r="B22" s="92" t="s">
        <v>69</v>
      </c>
      <c r="C22" s="31" t="s">
        <v>54</v>
      </c>
      <c r="D22" s="31" t="s">
        <v>54</v>
      </c>
      <c r="E22" s="31" t="s">
        <v>54</v>
      </c>
      <c r="F22" s="31" t="s">
        <v>54</v>
      </c>
      <c r="G22" s="31" t="s">
        <v>54</v>
      </c>
      <c r="H22" s="177" t="s">
        <v>54</v>
      </c>
      <c r="I22" s="178" t="s">
        <v>54</v>
      </c>
      <c r="J22" s="98" t="s">
        <v>54</v>
      </c>
      <c r="K22" s="31" t="s">
        <v>54</v>
      </c>
      <c r="L22" s="31" t="s">
        <v>54</v>
      </c>
      <c r="M22" s="31" t="s">
        <v>54</v>
      </c>
      <c r="N22" s="31" t="s">
        <v>54</v>
      </c>
      <c r="O22" s="177" t="s">
        <v>54</v>
      </c>
      <c r="P22" s="178" t="s">
        <v>54</v>
      </c>
      <c r="Q22" s="111">
        <v>2</v>
      </c>
      <c r="R22" s="85">
        <v>0</v>
      </c>
      <c r="S22" s="85">
        <v>0</v>
      </c>
      <c r="T22" s="248" t="str">
        <f t="shared" si="2"/>
        <v/>
      </c>
      <c r="U22" s="256">
        <v>2</v>
      </c>
      <c r="V22" s="258" t="s">
        <v>68</v>
      </c>
      <c r="W22" s="110" t="s">
        <v>54</v>
      </c>
      <c r="X22" s="34" t="s">
        <v>54</v>
      </c>
      <c r="Y22" s="34" t="s">
        <v>54</v>
      </c>
      <c r="Z22" s="160" t="s">
        <v>54</v>
      </c>
      <c r="AA22" s="180" t="s">
        <v>54</v>
      </c>
      <c r="AB22" s="257" t="s">
        <v>54</v>
      </c>
      <c r="AC22" s="30"/>
      <c r="AD22" s="30"/>
      <c r="AE22" s="30"/>
      <c r="AF22" s="30"/>
      <c r="AG22" s="30"/>
      <c r="AH22" s="30"/>
      <c r="AI22" s="30"/>
      <c r="AJ22" s="30"/>
      <c r="AK22" s="30"/>
    </row>
    <row r="23" spans="1:37" ht="20.100000000000001" customHeight="1">
      <c r="A23" s="283"/>
      <c r="B23" s="92" t="s">
        <v>70</v>
      </c>
      <c r="C23" s="31" t="s">
        <v>54</v>
      </c>
      <c r="D23" s="31" t="s">
        <v>54</v>
      </c>
      <c r="E23" s="31" t="s">
        <v>54</v>
      </c>
      <c r="F23" s="31" t="s">
        <v>54</v>
      </c>
      <c r="G23" s="31" t="s">
        <v>54</v>
      </c>
      <c r="H23" s="177" t="s">
        <v>54</v>
      </c>
      <c r="I23" s="178" t="s">
        <v>54</v>
      </c>
      <c r="J23" s="98" t="s">
        <v>54</v>
      </c>
      <c r="K23" s="31" t="s">
        <v>54</v>
      </c>
      <c r="L23" s="31" t="s">
        <v>54</v>
      </c>
      <c r="M23" s="31" t="s">
        <v>54</v>
      </c>
      <c r="N23" s="31" t="s">
        <v>54</v>
      </c>
      <c r="O23" s="177" t="s">
        <v>54</v>
      </c>
      <c r="P23" s="178" t="s">
        <v>54</v>
      </c>
      <c r="Q23" s="111">
        <v>2</v>
      </c>
      <c r="R23" s="85">
        <v>1</v>
      </c>
      <c r="S23" s="85">
        <v>1</v>
      </c>
      <c r="T23" s="248">
        <f t="shared" si="2"/>
        <v>1</v>
      </c>
      <c r="U23" s="256">
        <v>2</v>
      </c>
      <c r="V23" s="258" t="s">
        <v>68</v>
      </c>
      <c r="W23" s="110" t="s">
        <v>54</v>
      </c>
      <c r="X23" s="34" t="s">
        <v>54</v>
      </c>
      <c r="Y23" s="34" t="s">
        <v>54</v>
      </c>
      <c r="Z23" s="160" t="s">
        <v>54</v>
      </c>
      <c r="AA23" s="180" t="s">
        <v>54</v>
      </c>
      <c r="AB23" s="257" t="s">
        <v>54</v>
      </c>
      <c r="AC23" s="30"/>
      <c r="AD23" s="30"/>
      <c r="AE23" s="30"/>
      <c r="AF23" s="30"/>
      <c r="AG23" s="30"/>
      <c r="AH23" s="30"/>
      <c r="AI23" s="30"/>
      <c r="AJ23" s="30"/>
      <c r="AK23" s="30"/>
    </row>
    <row r="24" spans="1:37" ht="20.100000000000001" customHeight="1">
      <c r="A24" s="283"/>
      <c r="B24" s="92" t="s">
        <v>71</v>
      </c>
      <c r="C24" s="31" t="s">
        <v>54</v>
      </c>
      <c r="D24" s="31" t="s">
        <v>54</v>
      </c>
      <c r="E24" s="31" t="s">
        <v>54</v>
      </c>
      <c r="F24" s="31" t="s">
        <v>54</v>
      </c>
      <c r="G24" s="31" t="s">
        <v>54</v>
      </c>
      <c r="H24" s="177" t="s">
        <v>54</v>
      </c>
      <c r="I24" s="178" t="s">
        <v>54</v>
      </c>
      <c r="J24" s="98" t="s">
        <v>54</v>
      </c>
      <c r="K24" s="31" t="s">
        <v>54</v>
      </c>
      <c r="L24" s="31" t="s">
        <v>54</v>
      </c>
      <c r="M24" s="31" t="s">
        <v>54</v>
      </c>
      <c r="N24" s="31" t="s">
        <v>54</v>
      </c>
      <c r="O24" s="177" t="s">
        <v>54</v>
      </c>
      <c r="P24" s="178" t="s">
        <v>54</v>
      </c>
      <c r="Q24" s="111">
        <v>2</v>
      </c>
      <c r="R24" s="85">
        <v>4</v>
      </c>
      <c r="S24" s="85">
        <v>2</v>
      </c>
      <c r="T24" s="248">
        <f t="shared" si="2"/>
        <v>0.5</v>
      </c>
      <c r="U24" s="256">
        <v>2</v>
      </c>
      <c r="V24" s="259" t="s">
        <v>68</v>
      </c>
      <c r="W24" s="110" t="s">
        <v>54</v>
      </c>
      <c r="X24" s="34" t="s">
        <v>54</v>
      </c>
      <c r="Y24" s="34" t="s">
        <v>54</v>
      </c>
      <c r="Z24" s="160" t="s">
        <v>54</v>
      </c>
      <c r="AA24" s="180" t="s">
        <v>54</v>
      </c>
      <c r="AB24" s="257" t="s">
        <v>54</v>
      </c>
      <c r="AC24" s="30"/>
      <c r="AD24" s="30"/>
      <c r="AE24" s="30"/>
      <c r="AF24" s="30"/>
      <c r="AG24" s="30"/>
      <c r="AH24" s="30"/>
      <c r="AI24" s="30"/>
      <c r="AJ24" s="30"/>
      <c r="AK24" s="30"/>
    </row>
    <row r="25" spans="1:37" ht="20.100000000000001" customHeight="1">
      <c r="A25" s="283"/>
      <c r="B25" s="92" t="s">
        <v>72</v>
      </c>
      <c r="C25" s="31" t="s">
        <v>54</v>
      </c>
      <c r="D25" s="31" t="s">
        <v>54</v>
      </c>
      <c r="E25" s="31" t="s">
        <v>54</v>
      </c>
      <c r="F25" s="31" t="s">
        <v>54</v>
      </c>
      <c r="G25" s="31" t="s">
        <v>54</v>
      </c>
      <c r="H25" s="177" t="s">
        <v>54</v>
      </c>
      <c r="I25" s="178" t="s">
        <v>54</v>
      </c>
      <c r="J25" s="98" t="s">
        <v>54</v>
      </c>
      <c r="K25" s="31" t="s">
        <v>54</v>
      </c>
      <c r="L25" s="31" t="s">
        <v>54</v>
      </c>
      <c r="M25" s="31" t="s">
        <v>54</v>
      </c>
      <c r="N25" s="31" t="s">
        <v>54</v>
      </c>
      <c r="O25" s="177" t="s">
        <v>54</v>
      </c>
      <c r="P25" s="178" t="s">
        <v>54</v>
      </c>
      <c r="Q25" s="111">
        <v>2</v>
      </c>
      <c r="R25" s="85">
        <v>3</v>
      </c>
      <c r="S25" s="85">
        <v>2</v>
      </c>
      <c r="T25" s="248">
        <f t="shared" si="2"/>
        <v>0.66666666666666663</v>
      </c>
      <c r="U25" s="256">
        <v>2</v>
      </c>
      <c r="V25" s="259" t="s">
        <v>73</v>
      </c>
      <c r="W25" s="110" t="s">
        <v>54</v>
      </c>
      <c r="X25" s="34" t="s">
        <v>54</v>
      </c>
      <c r="Y25" s="34" t="s">
        <v>54</v>
      </c>
      <c r="Z25" s="160" t="s">
        <v>54</v>
      </c>
      <c r="AA25" s="180" t="s">
        <v>54</v>
      </c>
      <c r="AB25" s="257" t="s">
        <v>54</v>
      </c>
      <c r="AC25" s="30"/>
      <c r="AD25" s="30"/>
      <c r="AE25" s="30"/>
      <c r="AF25" s="30"/>
      <c r="AG25" s="30"/>
      <c r="AH25" s="30"/>
      <c r="AI25" s="30"/>
      <c r="AJ25" s="30"/>
      <c r="AK25" s="30"/>
    </row>
    <row r="26" spans="1:37" ht="20.100000000000001" customHeight="1">
      <c r="A26" s="283"/>
      <c r="B26" s="92" t="s">
        <v>74</v>
      </c>
      <c r="C26" s="31" t="s">
        <v>54</v>
      </c>
      <c r="D26" s="31" t="s">
        <v>54</v>
      </c>
      <c r="E26" s="31" t="s">
        <v>54</v>
      </c>
      <c r="F26" s="31" t="s">
        <v>54</v>
      </c>
      <c r="G26" s="31" t="s">
        <v>54</v>
      </c>
      <c r="H26" s="177" t="s">
        <v>54</v>
      </c>
      <c r="I26" s="178" t="s">
        <v>54</v>
      </c>
      <c r="J26" s="98" t="s">
        <v>54</v>
      </c>
      <c r="K26" s="31" t="s">
        <v>54</v>
      </c>
      <c r="L26" s="31" t="s">
        <v>54</v>
      </c>
      <c r="M26" s="31" t="s">
        <v>54</v>
      </c>
      <c r="N26" s="31" t="s">
        <v>54</v>
      </c>
      <c r="O26" s="177" t="s">
        <v>54</v>
      </c>
      <c r="P26" s="178" t="s">
        <v>54</v>
      </c>
      <c r="Q26" s="111">
        <v>2</v>
      </c>
      <c r="R26" s="85">
        <v>0</v>
      </c>
      <c r="S26" s="85">
        <v>0</v>
      </c>
      <c r="T26" s="248" t="str">
        <f t="shared" si="2"/>
        <v/>
      </c>
      <c r="U26" s="256">
        <v>2</v>
      </c>
      <c r="V26" s="258" t="s">
        <v>68</v>
      </c>
      <c r="W26" s="110" t="s">
        <v>54</v>
      </c>
      <c r="X26" s="34" t="s">
        <v>54</v>
      </c>
      <c r="Y26" s="34" t="s">
        <v>54</v>
      </c>
      <c r="Z26" s="160" t="s">
        <v>54</v>
      </c>
      <c r="AA26" s="180" t="s">
        <v>54</v>
      </c>
      <c r="AB26" s="257" t="s">
        <v>54</v>
      </c>
      <c r="AC26" s="30"/>
      <c r="AD26" s="30"/>
      <c r="AE26" s="30"/>
      <c r="AF26" s="30"/>
      <c r="AG26" s="30"/>
      <c r="AH26" s="30"/>
      <c r="AI26" s="30"/>
      <c r="AJ26" s="30"/>
      <c r="AK26" s="30"/>
    </row>
    <row r="27" spans="1:37" ht="20.100000000000001" customHeight="1">
      <c r="A27" s="283"/>
      <c r="B27" s="9" t="s">
        <v>75</v>
      </c>
      <c r="C27" s="31">
        <v>42</v>
      </c>
      <c r="D27" s="32">
        <v>13</v>
      </c>
      <c r="E27" s="54">
        <v>2</v>
      </c>
      <c r="F27" s="54">
        <v>2</v>
      </c>
      <c r="G27" s="157">
        <f t="shared" si="0"/>
        <v>1</v>
      </c>
      <c r="H27" s="173">
        <v>11</v>
      </c>
      <c r="I27" s="183" t="s">
        <v>68</v>
      </c>
      <c r="J27" s="97">
        <f t="shared" ref="J27:J32" si="3">IFERROR(F27/C27,"")</f>
        <v>4.7619047619047616E-2</v>
      </c>
      <c r="K27" s="33">
        <v>13</v>
      </c>
      <c r="L27" s="55">
        <v>0</v>
      </c>
      <c r="M27" s="55">
        <v>0</v>
      </c>
      <c r="N27" s="213" t="str">
        <f t="shared" si="1"/>
        <v/>
      </c>
      <c r="O27" s="226">
        <v>13</v>
      </c>
      <c r="P27" s="232" t="s">
        <v>68</v>
      </c>
      <c r="Q27" s="110" t="s">
        <v>54</v>
      </c>
      <c r="R27" s="34" t="s">
        <v>54</v>
      </c>
      <c r="S27" s="34" t="s">
        <v>54</v>
      </c>
      <c r="T27" s="31" t="s">
        <v>54</v>
      </c>
      <c r="U27" s="180" t="s">
        <v>54</v>
      </c>
      <c r="V27" s="257" t="s">
        <v>54</v>
      </c>
      <c r="W27" s="110" t="s">
        <v>54</v>
      </c>
      <c r="X27" s="34" t="s">
        <v>54</v>
      </c>
      <c r="Y27" s="34" t="s">
        <v>54</v>
      </c>
      <c r="Z27" s="160" t="s">
        <v>54</v>
      </c>
      <c r="AA27" s="180" t="s">
        <v>54</v>
      </c>
      <c r="AB27" s="257" t="s">
        <v>54</v>
      </c>
      <c r="AC27" s="30"/>
      <c r="AD27" s="30"/>
      <c r="AE27" s="30"/>
      <c r="AF27" s="30"/>
      <c r="AG27" s="30"/>
      <c r="AH27" s="30"/>
      <c r="AI27" s="30"/>
      <c r="AJ27" s="30"/>
      <c r="AK27" s="30"/>
    </row>
    <row r="28" spans="1:37" ht="20.100000000000001" customHeight="1">
      <c r="A28" s="283"/>
      <c r="B28" s="9" t="s">
        <v>76</v>
      </c>
      <c r="C28" s="31">
        <v>42</v>
      </c>
      <c r="D28" s="32">
        <v>14</v>
      </c>
      <c r="E28" s="54">
        <v>1</v>
      </c>
      <c r="F28" s="54">
        <v>1</v>
      </c>
      <c r="G28" s="157">
        <f t="shared" si="0"/>
        <v>1</v>
      </c>
      <c r="H28" s="173">
        <v>14</v>
      </c>
      <c r="I28" s="182" t="s">
        <v>77</v>
      </c>
      <c r="J28" s="97">
        <f t="shared" si="3"/>
        <v>2.3809523809523808E-2</v>
      </c>
      <c r="K28" s="33">
        <v>4</v>
      </c>
      <c r="L28" s="55">
        <v>0</v>
      </c>
      <c r="M28" s="55">
        <v>0</v>
      </c>
      <c r="N28" s="213" t="str">
        <f t="shared" si="1"/>
        <v/>
      </c>
      <c r="O28" s="226">
        <v>4</v>
      </c>
      <c r="P28" s="227" t="s">
        <v>165</v>
      </c>
      <c r="Q28" s="110" t="s">
        <v>54</v>
      </c>
      <c r="R28" s="34" t="s">
        <v>54</v>
      </c>
      <c r="S28" s="34" t="s">
        <v>54</v>
      </c>
      <c r="T28" s="31" t="s">
        <v>54</v>
      </c>
      <c r="U28" s="180" t="s">
        <v>54</v>
      </c>
      <c r="V28" s="257" t="s">
        <v>54</v>
      </c>
      <c r="W28" s="110" t="s">
        <v>54</v>
      </c>
      <c r="X28" s="34" t="s">
        <v>54</v>
      </c>
      <c r="Y28" s="34" t="s">
        <v>54</v>
      </c>
      <c r="Z28" s="160" t="s">
        <v>54</v>
      </c>
      <c r="AA28" s="180" t="s">
        <v>54</v>
      </c>
      <c r="AB28" s="257" t="s">
        <v>54</v>
      </c>
      <c r="AC28" s="30"/>
      <c r="AD28" s="30"/>
      <c r="AE28" s="30"/>
      <c r="AF28" s="30"/>
      <c r="AG28" s="30"/>
      <c r="AH28" s="30"/>
      <c r="AI28" s="30"/>
      <c r="AJ28" s="30"/>
      <c r="AK28" s="30"/>
    </row>
    <row r="29" spans="1:37" ht="20.100000000000001" customHeight="1">
      <c r="A29" s="283"/>
      <c r="B29" s="8" t="s">
        <v>30</v>
      </c>
      <c r="C29" s="31">
        <v>27</v>
      </c>
      <c r="D29" s="32">
        <v>15</v>
      </c>
      <c r="E29" s="54">
        <v>3</v>
      </c>
      <c r="F29" s="54">
        <v>3</v>
      </c>
      <c r="G29" s="157">
        <f t="shared" si="0"/>
        <v>1</v>
      </c>
      <c r="H29" s="173">
        <v>15</v>
      </c>
      <c r="I29" s="176" t="s">
        <v>78</v>
      </c>
      <c r="J29" s="97">
        <f t="shared" si="3"/>
        <v>0.1111111111111111</v>
      </c>
      <c r="K29" s="33">
        <v>15</v>
      </c>
      <c r="L29" s="55">
        <v>0</v>
      </c>
      <c r="M29" s="55">
        <v>0</v>
      </c>
      <c r="N29" s="213" t="str">
        <f t="shared" si="1"/>
        <v/>
      </c>
      <c r="O29" s="226">
        <v>15</v>
      </c>
      <c r="P29" s="227" t="s">
        <v>78</v>
      </c>
      <c r="Q29" s="110" t="s">
        <v>54</v>
      </c>
      <c r="R29" s="34" t="s">
        <v>54</v>
      </c>
      <c r="S29" s="34" t="s">
        <v>54</v>
      </c>
      <c r="T29" s="31" t="s">
        <v>54</v>
      </c>
      <c r="U29" s="180" t="s">
        <v>54</v>
      </c>
      <c r="V29" s="257" t="s">
        <v>54</v>
      </c>
      <c r="W29" s="110" t="s">
        <v>54</v>
      </c>
      <c r="X29" s="34" t="s">
        <v>54</v>
      </c>
      <c r="Y29" s="34" t="s">
        <v>54</v>
      </c>
      <c r="Z29" s="160" t="s">
        <v>54</v>
      </c>
      <c r="AA29" s="180" t="s">
        <v>54</v>
      </c>
      <c r="AB29" s="257" t="s">
        <v>54</v>
      </c>
      <c r="AC29" s="30"/>
      <c r="AD29" s="30"/>
      <c r="AE29" s="30"/>
      <c r="AF29" s="30"/>
      <c r="AG29" s="30"/>
      <c r="AH29" s="30"/>
      <c r="AI29" s="30"/>
      <c r="AJ29" s="30"/>
      <c r="AK29" s="30"/>
    </row>
    <row r="30" spans="1:37" ht="20.100000000000001" customHeight="1">
      <c r="A30" s="283"/>
      <c r="B30" s="8" t="s">
        <v>37</v>
      </c>
      <c r="C30" s="31">
        <v>88</v>
      </c>
      <c r="D30" s="32">
        <v>26</v>
      </c>
      <c r="E30" s="54">
        <v>15</v>
      </c>
      <c r="F30" s="54">
        <v>14</v>
      </c>
      <c r="G30" s="157">
        <f t="shared" si="0"/>
        <v>0.93333333333333335</v>
      </c>
      <c r="H30" s="173">
        <v>12</v>
      </c>
      <c r="I30" s="176" t="s">
        <v>50</v>
      </c>
      <c r="J30" s="97">
        <f t="shared" si="3"/>
        <v>0.15909090909090909</v>
      </c>
      <c r="K30" s="33">
        <v>5</v>
      </c>
      <c r="L30" s="55">
        <v>7</v>
      </c>
      <c r="M30" s="55">
        <v>7</v>
      </c>
      <c r="N30" s="213">
        <f t="shared" si="1"/>
        <v>1</v>
      </c>
      <c r="O30" s="226">
        <v>5</v>
      </c>
      <c r="P30" s="237" t="s">
        <v>50</v>
      </c>
      <c r="Q30" s="110" t="s">
        <v>54</v>
      </c>
      <c r="R30" s="34" t="s">
        <v>54</v>
      </c>
      <c r="S30" s="34" t="s">
        <v>54</v>
      </c>
      <c r="T30" s="31" t="s">
        <v>54</v>
      </c>
      <c r="U30" s="180" t="s">
        <v>54</v>
      </c>
      <c r="V30" s="257" t="s">
        <v>54</v>
      </c>
      <c r="W30" s="110" t="s">
        <v>54</v>
      </c>
      <c r="X30" s="34" t="s">
        <v>54</v>
      </c>
      <c r="Y30" s="34" t="s">
        <v>54</v>
      </c>
      <c r="Z30" s="160" t="s">
        <v>54</v>
      </c>
      <c r="AA30" s="180" t="s">
        <v>54</v>
      </c>
      <c r="AB30" s="257" t="s">
        <v>54</v>
      </c>
      <c r="AC30" s="30"/>
      <c r="AD30" s="30"/>
      <c r="AE30" s="30"/>
      <c r="AF30" s="30"/>
      <c r="AG30" s="30"/>
      <c r="AH30" s="30"/>
      <c r="AI30" s="30"/>
      <c r="AJ30" s="30"/>
      <c r="AK30" s="30"/>
    </row>
    <row r="31" spans="1:37" ht="20.100000000000001" customHeight="1">
      <c r="A31" s="283"/>
      <c r="B31" s="8" t="s">
        <v>33</v>
      </c>
      <c r="C31" s="31">
        <v>95</v>
      </c>
      <c r="D31" s="32">
        <v>15</v>
      </c>
      <c r="E31" s="54">
        <v>19</v>
      </c>
      <c r="F31" s="54">
        <v>15</v>
      </c>
      <c r="G31" s="157">
        <f t="shared" si="0"/>
        <v>0.78947368421052633</v>
      </c>
      <c r="H31" s="173">
        <v>20</v>
      </c>
      <c r="I31" s="176" t="s">
        <v>58</v>
      </c>
      <c r="J31" s="97">
        <f t="shared" si="3"/>
        <v>0.15789473684210525</v>
      </c>
      <c r="K31" s="33">
        <v>10</v>
      </c>
      <c r="L31" s="55">
        <v>2</v>
      </c>
      <c r="M31" s="55">
        <v>2</v>
      </c>
      <c r="N31" s="213">
        <f t="shared" si="1"/>
        <v>1</v>
      </c>
      <c r="O31" s="226">
        <v>10</v>
      </c>
      <c r="P31" s="232" t="s">
        <v>58</v>
      </c>
      <c r="Q31" s="110" t="s">
        <v>54</v>
      </c>
      <c r="R31" s="34" t="s">
        <v>54</v>
      </c>
      <c r="S31" s="34" t="s">
        <v>54</v>
      </c>
      <c r="T31" s="31" t="s">
        <v>54</v>
      </c>
      <c r="U31" s="180" t="s">
        <v>54</v>
      </c>
      <c r="V31" s="257" t="s">
        <v>54</v>
      </c>
      <c r="W31" s="110" t="s">
        <v>54</v>
      </c>
      <c r="X31" s="34" t="s">
        <v>54</v>
      </c>
      <c r="Y31" s="34" t="s">
        <v>54</v>
      </c>
      <c r="Z31" s="160" t="s">
        <v>54</v>
      </c>
      <c r="AA31" s="180" t="s">
        <v>54</v>
      </c>
      <c r="AB31" s="257" t="s">
        <v>54</v>
      </c>
      <c r="AC31" s="30"/>
      <c r="AD31" s="30"/>
      <c r="AE31" s="30"/>
      <c r="AF31" s="30"/>
      <c r="AG31" s="30"/>
      <c r="AH31" s="30"/>
      <c r="AI31" s="30"/>
      <c r="AJ31" s="30"/>
      <c r="AK31" s="30"/>
    </row>
    <row r="32" spans="1:37" ht="20.100000000000001" customHeight="1">
      <c r="A32" s="283"/>
      <c r="B32" s="8" t="s">
        <v>43</v>
      </c>
      <c r="C32" s="31">
        <v>113</v>
      </c>
      <c r="D32" s="32">
        <v>21</v>
      </c>
      <c r="E32" s="54">
        <v>10</v>
      </c>
      <c r="F32" s="54">
        <v>7</v>
      </c>
      <c r="G32" s="157">
        <f t="shared" si="0"/>
        <v>0.7</v>
      </c>
      <c r="H32" s="173">
        <v>27</v>
      </c>
      <c r="I32" s="176" t="s">
        <v>50</v>
      </c>
      <c r="J32" s="97">
        <f t="shared" si="3"/>
        <v>6.1946902654867256E-2</v>
      </c>
      <c r="K32" s="33">
        <v>15</v>
      </c>
      <c r="L32" s="55">
        <v>8</v>
      </c>
      <c r="M32" s="55">
        <v>6</v>
      </c>
      <c r="N32" s="213">
        <f t="shared" si="1"/>
        <v>0.75</v>
      </c>
      <c r="O32" s="226">
        <v>15</v>
      </c>
      <c r="P32" s="237" t="s">
        <v>50</v>
      </c>
      <c r="Q32" s="110" t="s">
        <v>54</v>
      </c>
      <c r="R32" s="34" t="s">
        <v>54</v>
      </c>
      <c r="S32" s="34" t="s">
        <v>54</v>
      </c>
      <c r="T32" s="31" t="s">
        <v>54</v>
      </c>
      <c r="U32" s="180" t="s">
        <v>54</v>
      </c>
      <c r="V32" s="257" t="s">
        <v>54</v>
      </c>
      <c r="W32" s="110" t="s">
        <v>54</v>
      </c>
      <c r="X32" s="34" t="s">
        <v>54</v>
      </c>
      <c r="Y32" s="34" t="s">
        <v>54</v>
      </c>
      <c r="Z32" s="160" t="s">
        <v>54</v>
      </c>
      <c r="AA32" s="180" t="s">
        <v>54</v>
      </c>
      <c r="AB32" s="257" t="s">
        <v>54</v>
      </c>
      <c r="AC32" s="30"/>
      <c r="AD32" s="30"/>
      <c r="AE32" s="30"/>
      <c r="AF32" s="30"/>
      <c r="AG32" s="30"/>
      <c r="AH32" s="30"/>
      <c r="AI32" s="30"/>
      <c r="AJ32" s="30"/>
      <c r="AK32" s="30"/>
    </row>
    <row r="33" spans="1:37" ht="20.100000000000001" customHeight="1">
      <c r="A33" s="283"/>
      <c r="B33" s="65" t="s">
        <v>166</v>
      </c>
      <c r="C33" s="31" t="s">
        <v>54</v>
      </c>
      <c r="D33" s="31" t="s">
        <v>54</v>
      </c>
      <c r="E33" s="31" t="s">
        <v>54</v>
      </c>
      <c r="F33" s="31" t="s">
        <v>54</v>
      </c>
      <c r="G33" s="31" t="s">
        <v>54</v>
      </c>
      <c r="H33" s="177" t="s">
        <v>54</v>
      </c>
      <c r="I33" s="178" t="s">
        <v>54</v>
      </c>
      <c r="J33" s="98" t="s">
        <v>54</v>
      </c>
      <c r="K33" s="33" t="s">
        <v>54</v>
      </c>
      <c r="L33" s="55">
        <v>0</v>
      </c>
      <c r="M33" s="55">
        <v>0</v>
      </c>
      <c r="N33" s="215" t="str">
        <f t="shared" si="1"/>
        <v/>
      </c>
      <c r="O33" s="229">
        <v>0</v>
      </c>
      <c r="P33" s="237"/>
      <c r="Q33" s="110" t="s">
        <v>54</v>
      </c>
      <c r="R33" s="34" t="s">
        <v>54</v>
      </c>
      <c r="S33" s="34" t="s">
        <v>54</v>
      </c>
      <c r="T33" s="31" t="s">
        <v>54</v>
      </c>
      <c r="U33" s="180" t="s">
        <v>54</v>
      </c>
      <c r="V33" s="257" t="s">
        <v>54</v>
      </c>
      <c r="W33" s="122">
        <v>50</v>
      </c>
      <c r="X33" s="149">
        <v>20</v>
      </c>
      <c r="Y33" s="149">
        <v>19</v>
      </c>
      <c r="Z33" s="271">
        <f>IFERROR(Y33/X33,"")</f>
        <v>0.95</v>
      </c>
      <c r="AA33" s="275">
        <v>50</v>
      </c>
      <c r="AB33" s="278" t="s">
        <v>128</v>
      </c>
      <c r="AC33" s="30"/>
      <c r="AD33" s="30"/>
      <c r="AE33" s="30"/>
      <c r="AF33" s="30"/>
      <c r="AG33" s="30"/>
      <c r="AH33" s="30"/>
      <c r="AI33" s="30"/>
      <c r="AJ33" s="30"/>
      <c r="AK33" s="30"/>
    </row>
    <row r="34" spans="1:37" ht="20.100000000000001" customHeight="1">
      <c r="A34" s="283"/>
      <c r="B34" s="65" t="s">
        <v>167</v>
      </c>
      <c r="C34" s="31" t="s">
        <v>54</v>
      </c>
      <c r="D34" s="31" t="s">
        <v>54</v>
      </c>
      <c r="E34" s="31" t="s">
        <v>54</v>
      </c>
      <c r="F34" s="31" t="s">
        <v>54</v>
      </c>
      <c r="G34" s="31" t="s">
        <v>54</v>
      </c>
      <c r="H34" s="177" t="s">
        <v>54</v>
      </c>
      <c r="I34" s="178" t="s">
        <v>54</v>
      </c>
      <c r="J34" s="98" t="s">
        <v>54</v>
      </c>
      <c r="K34" s="36">
        <v>100</v>
      </c>
      <c r="L34" s="59">
        <v>21</v>
      </c>
      <c r="M34" s="59">
        <v>21</v>
      </c>
      <c r="N34" s="214">
        <f t="shared" si="1"/>
        <v>1</v>
      </c>
      <c r="O34" s="228">
        <v>100</v>
      </c>
      <c r="P34" s="239" t="s">
        <v>68</v>
      </c>
      <c r="Q34" s="110" t="s">
        <v>54</v>
      </c>
      <c r="R34" s="34" t="s">
        <v>54</v>
      </c>
      <c r="S34" s="34" t="s">
        <v>54</v>
      </c>
      <c r="T34" s="31" t="s">
        <v>54</v>
      </c>
      <c r="U34" s="180" t="s">
        <v>54</v>
      </c>
      <c r="V34" s="257" t="s">
        <v>54</v>
      </c>
      <c r="W34" s="122">
        <v>100</v>
      </c>
      <c r="X34" s="149">
        <v>11</v>
      </c>
      <c r="Y34" s="149">
        <v>11</v>
      </c>
      <c r="Z34" s="271">
        <f>IFERROR(Y34/X34,"")</f>
        <v>1</v>
      </c>
      <c r="AA34" s="275">
        <v>100</v>
      </c>
      <c r="AB34" s="278" t="s">
        <v>68</v>
      </c>
      <c r="AC34" s="30"/>
      <c r="AD34" s="30"/>
      <c r="AE34" s="30"/>
      <c r="AF34" s="30"/>
      <c r="AG34" s="30"/>
      <c r="AH34" s="30"/>
      <c r="AI34" s="30"/>
      <c r="AJ34" s="30"/>
      <c r="AK34" s="30"/>
    </row>
    <row r="35" spans="1:37" s="7" customFormat="1" ht="20.100000000000001" customHeight="1">
      <c r="A35" s="283"/>
      <c r="B35" s="10" t="s">
        <v>79</v>
      </c>
      <c r="C35" s="37">
        <f>SUM(C8:C34)</f>
        <v>1182</v>
      </c>
      <c r="D35" s="38">
        <f>SUM(D8:D34)</f>
        <v>324</v>
      </c>
      <c r="E35" s="38">
        <f>SUM(E8:E34)</f>
        <v>162</v>
      </c>
      <c r="F35" s="38">
        <f>SUM(F8:F34)</f>
        <v>85</v>
      </c>
      <c r="G35" s="161">
        <f t="shared" si="0"/>
        <v>0.52469135802469136</v>
      </c>
      <c r="H35" s="184">
        <f>SUM(H8:H34)</f>
        <v>303</v>
      </c>
      <c r="I35" s="185" t="s">
        <v>54</v>
      </c>
      <c r="J35" s="99">
        <f>IFERROR(F35/C35,"")</f>
        <v>7.1912013536379021E-2</v>
      </c>
      <c r="K35" s="38">
        <f>SUM(K8:K34)</f>
        <v>385</v>
      </c>
      <c r="L35" s="38">
        <f>SUM(L8:L34)</f>
        <v>173</v>
      </c>
      <c r="M35" s="38">
        <f>SUM(M8:M34)</f>
        <v>130</v>
      </c>
      <c r="N35" s="161">
        <f t="shared" si="1"/>
        <v>0.75144508670520227</v>
      </c>
      <c r="O35" s="184">
        <f>SUM(O8:O34)</f>
        <v>284</v>
      </c>
      <c r="P35" s="185" t="s">
        <v>54</v>
      </c>
      <c r="Q35" s="112">
        <f>SUM(Q8:Q34)</f>
        <v>17</v>
      </c>
      <c r="R35" s="38">
        <f>SUM(R8:R34)</f>
        <v>9</v>
      </c>
      <c r="S35" s="38">
        <f>SUM(S8:S34)</f>
        <v>5</v>
      </c>
      <c r="T35" s="161">
        <f t="shared" si="2"/>
        <v>0.55555555555555558</v>
      </c>
      <c r="U35" s="184">
        <f>SUM(U8:U34)</f>
        <v>12</v>
      </c>
      <c r="V35" s="185" t="s">
        <v>54</v>
      </c>
      <c r="W35" s="112">
        <f>SUM(W8:W34)</f>
        <v>150</v>
      </c>
      <c r="X35" s="38">
        <f>SUM(X8:X34)</f>
        <v>106</v>
      </c>
      <c r="Y35" s="38">
        <f>SUM(Y8:Y34)</f>
        <v>75</v>
      </c>
      <c r="Z35" s="161">
        <f>IFERROR(Y35/X35,"")</f>
        <v>0.70754716981132071</v>
      </c>
      <c r="AA35" s="184">
        <f>SUM(AA8:AA34)</f>
        <v>150</v>
      </c>
      <c r="AB35" s="185" t="s">
        <v>54</v>
      </c>
    </row>
    <row r="36" spans="1:37" ht="20.100000000000001" customHeight="1">
      <c r="A36" s="298" t="s">
        <v>5</v>
      </c>
      <c r="B36" s="11" t="s">
        <v>10</v>
      </c>
      <c r="C36" s="39">
        <v>37</v>
      </c>
      <c r="D36" s="80">
        <v>10</v>
      </c>
      <c r="E36" s="67">
        <v>7</v>
      </c>
      <c r="F36" s="67">
        <v>7</v>
      </c>
      <c r="G36" s="162">
        <f t="shared" si="0"/>
        <v>1</v>
      </c>
      <c r="H36" s="186">
        <v>10</v>
      </c>
      <c r="I36" s="187" t="s">
        <v>80</v>
      </c>
      <c r="J36" s="100">
        <f>IFERROR(F36/C36,"")</f>
        <v>0.1891891891891892</v>
      </c>
      <c r="K36" s="82">
        <v>10</v>
      </c>
      <c r="L36" s="74">
        <v>2</v>
      </c>
      <c r="M36" s="74">
        <v>2</v>
      </c>
      <c r="N36" s="216">
        <f t="shared" si="1"/>
        <v>1</v>
      </c>
      <c r="O36" s="230">
        <v>10</v>
      </c>
      <c r="P36" s="240" t="s">
        <v>80</v>
      </c>
      <c r="Q36" s="113" t="s">
        <v>51</v>
      </c>
      <c r="R36" s="79" t="s">
        <v>51</v>
      </c>
      <c r="S36" s="79" t="s">
        <v>51</v>
      </c>
      <c r="T36" s="31" t="s">
        <v>54</v>
      </c>
      <c r="U36" s="260" t="s">
        <v>51</v>
      </c>
      <c r="V36" s="261" t="s">
        <v>51</v>
      </c>
      <c r="W36" s="113" t="s">
        <v>51</v>
      </c>
      <c r="X36" s="79" t="s">
        <v>51</v>
      </c>
      <c r="Y36" s="79" t="s">
        <v>51</v>
      </c>
      <c r="Z36" s="249" t="s">
        <v>51</v>
      </c>
      <c r="AA36" s="260" t="s">
        <v>51</v>
      </c>
      <c r="AB36" s="261" t="s">
        <v>51</v>
      </c>
      <c r="AC36" s="30"/>
      <c r="AD36" s="30"/>
      <c r="AE36" s="30"/>
      <c r="AF36" s="30"/>
      <c r="AG36" s="30"/>
      <c r="AH36" s="30"/>
      <c r="AI36" s="30"/>
      <c r="AJ36" s="30"/>
      <c r="AK36" s="30"/>
    </row>
    <row r="37" spans="1:37" ht="20.100000000000001" customHeight="1">
      <c r="A37" s="298"/>
      <c r="B37" s="11" t="s">
        <v>20</v>
      </c>
      <c r="C37" s="39">
        <v>32</v>
      </c>
      <c r="D37" s="80">
        <v>40</v>
      </c>
      <c r="E37" s="67">
        <v>48</v>
      </c>
      <c r="F37" s="67">
        <v>33</v>
      </c>
      <c r="G37" s="162">
        <f t="shared" si="0"/>
        <v>0.6875</v>
      </c>
      <c r="H37" s="186">
        <v>40</v>
      </c>
      <c r="I37" s="188" t="s">
        <v>53</v>
      </c>
      <c r="J37" s="100">
        <f>IFERROR(F37/C37,"")</f>
        <v>1.03125</v>
      </c>
      <c r="K37" s="82">
        <v>20</v>
      </c>
      <c r="L37" s="74">
        <v>20</v>
      </c>
      <c r="M37" s="74">
        <v>17</v>
      </c>
      <c r="N37" s="216">
        <f t="shared" si="1"/>
        <v>0.85</v>
      </c>
      <c r="O37" s="230">
        <v>20</v>
      </c>
      <c r="P37" s="241" t="s">
        <v>81</v>
      </c>
      <c r="Q37" s="113" t="s">
        <v>51</v>
      </c>
      <c r="R37" s="79" t="s">
        <v>51</v>
      </c>
      <c r="S37" s="79" t="s">
        <v>51</v>
      </c>
      <c r="T37" s="31" t="s">
        <v>54</v>
      </c>
      <c r="U37" s="260" t="s">
        <v>51</v>
      </c>
      <c r="V37" s="261" t="s">
        <v>51</v>
      </c>
      <c r="W37" s="113" t="s">
        <v>51</v>
      </c>
      <c r="X37" s="79" t="s">
        <v>51</v>
      </c>
      <c r="Y37" s="79" t="s">
        <v>51</v>
      </c>
      <c r="Z37" s="249" t="s">
        <v>51</v>
      </c>
      <c r="AA37" s="260" t="s">
        <v>51</v>
      </c>
      <c r="AB37" s="261" t="s">
        <v>51</v>
      </c>
      <c r="AC37" s="30"/>
      <c r="AD37" s="30"/>
      <c r="AE37" s="30"/>
      <c r="AF37" s="30"/>
      <c r="AG37" s="30"/>
      <c r="AH37" s="30"/>
      <c r="AI37" s="30"/>
      <c r="AJ37" s="30"/>
      <c r="AK37" s="30"/>
    </row>
    <row r="38" spans="1:37" ht="20.100000000000001" customHeight="1">
      <c r="A38" s="298"/>
      <c r="B38" s="89" t="s">
        <v>82</v>
      </c>
      <c r="C38" s="39" t="s">
        <v>51</v>
      </c>
      <c r="D38" s="68" t="s">
        <v>51</v>
      </c>
      <c r="E38" s="68" t="s">
        <v>51</v>
      </c>
      <c r="F38" s="68" t="s">
        <v>51</v>
      </c>
      <c r="G38" s="31" t="s">
        <v>54</v>
      </c>
      <c r="H38" s="189" t="s">
        <v>51</v>
      </c>
      <c r="I38" s="190" t="s">
        <v>51</v>
      </c>
      <c r="J38" s="101" t="s">
        <v>51</v>
      </c>
      <c r="K38" s="68" t="s">
        <v>51</v>
      </c>
      <c r="L38" s="68" t="s">
        <v>51</v>
      </c>
      <c r="M38" s="68" t="s">
        <v>51</v>
      </c>
      <c r="N38" s="31" t="s">
        <v>54</v>
      </c>
      <c r="O38" s="189" t="s">
        <v>51</v>
      </c>
      <c r="P38" s="190" t="s">
        <v>51</v>
      </c>
      <c r="Q38" s="114">
        <v>5</v>
      </c>
      <c r="R38" s="88">
        <v>7</v>
      </c>
      <c r="S38" s="88">
        <v>5</v>
      </c>
      <c r="T38" s="250">
        <f t="shared" si="2"/>
        <v>0.7142857142857143</v>
      </c>
      <c r="U38" s="262">
        <v>5</v>
      </c>
      <c r="V38" s="263" t="s">
        <v>62</v>
      </c>
      <c r="W38" s="113" t="s">
        <v>51</v>
      </c>
      <c r="X38" s="79" t="s">
        <v>51</v>
      </c>
      <c r="Y38" s="79" t="s">
        <v>51</v>
      </c>
      <c r="Z38" s="249" t="s">
        <v>51</v>
      </c>
      <c r="AA38" s="260" t="s">
        <v>51</v>
      </c>
      <c r="AB38" s="261" t="s">
        <v>51</v>
      </c>
      <c r="AC38" s="30"/>
      <c r="AD38" s="30"/>
      <c r="AE38" s="30"/>
      <c r="AF38" s="30"/>
      <c r="AG38" s="30"/>
      <c r="AH38" s="30"/>
      <c r="AI38" s="30"/>
      <c r="AJ38" s="30"/>
      <c r="AK38" s="30"/>
    </row>
    <row r="39" spans="1:37" ht="20.100000000000001" customHeight="1">
      <c r="A39" s="298"/>
      <c r="B39" s="89" t="s">
        <v>83</v>
      </c>
      <c r="C39" s="39" t="s">
        <v>51</v>
      </c>
      <c r="D39" s="68" t="s">
        <v>51</v>
      </c>
      <c r="E39" s="68" t="s">
        <v>51</v>
      </c>
      <c r="F39" s="68" t="s">
        <v>51</v>
      </c>
      <c r="G39" s="31" t="s">
        <v>54</v>
      </c>
      <c r="H39" s="189" t="s">
        <v>51</v>
      </c>
      <c r="I39" s="190" t="s">
        <v>51</v>
      </c>
      <c r="J39" s="101" t="s">
        <v>51</v>
      </c>
      <c r="K39" s="68" t="s">
        <v>51</v>
      </c>
      <c r="L39" s="68" t="s">
        <v>51</v>
      </c>
      <c r="M39" s="68" t="s">
        <v>51</v>
      </c>
      <c r="N39" s="31" t="s">
        <v>54</v>
      </c>
      <c r="O39" s="189" t="s">
        <v>51</v>
      </c>
      <c r="P39" s="190" t="s">
        <v>51</v>
      </c>
      <c r="Q39" s="114">
        <v>5</v>
      </c>
      <c r="R39" s="88">
        <v>0</v>
      </c>
      <c r="S39" s="88">
        <v>0</v>
      </c>
      <c r="T39" s="250" t="str">
        <f t="shared" si="2"/>
        <v/>
      </c>
      <c r="U39" s="262">
        <v>5</v>
      </c>
      <c r="V39" s="263" t="s">
        <v>62</v>
      </c>
      <c r="W39" s="113" t="s">
        <v>51</v>
      </c>
      <c r="X39" s="79" t="s">
        <v>51</v>
      </c>
      <c r="Y39" s="79" t="s">
        <v>51</v>
      </c>
      <c r="Z39" s="249" t="s">
        <v>51</v>
      </c>
      <c r="AA39" s="260" t="s">
        <v>51</v>
      </c>
      <c r="AB39" s="261" t="s">
        <v>51</v>
      </c>
      <c r="AC39" s="30"/>
      <c r="AD39" s="30"/>
      <c r="AE39" s="30"/>
      <c r="AF39" s="30"/>
      <c r="AG39" s="30"/>
      <c r="AH39" s="30"/>
      <c r="AI39" s="30"/>
      <c r="AJ39" s="30"/>
      <c r="AK39" s="30"/>
    </row>
    <row r="40" spans="1:37" ht="20.100000000000001" customHeight="1">
      <c r="A40" s="298"/>
      <c r="B40" s="89" t="s">
        <v>84</v>
      </c>
      <c r="C40" s="39" t="s">
        <v>51</v>
      </c>
      <c r="D40" s="68" t="s">
        <v>51</v>
      </c>
      <c r="E40" s="68" t="s">
        <v>51</v>
      </c>
      <c r="F40" s="68" t="s">
        <v>51</v>
      </c>
      <c r="G40" s="31" t="s">
        <v>54</v>
      </c>
      <c r="H40" s="189" t="s">
        <v>51</v>
      </c>
      <c r="I40" s="190" t="s">
        <v>51</v>
      </c>
      <c r="J40" s="101" t="s">
        <v>51</v>
      </c>
      <c r="K40" s="68" t="s">
        <v>51</v>
      </c>
      <c r="L40" s="68" t="s">
        <v>51</v>
      </c>
      <c r="M40" s="68" t="s">
        <v>51</v>
      </c>
      <c r="N40" s="31" t="s">
        <v>54</v>
      </c>
      <c r="O40" s="189" t="s">
        <v>51</v>
      </c>
      <c r="P40" s="190" t="s">
        <v>51</v>
      </c>
      <c r="Q40" s="114">
        <v>15</v>
      </c>
      <c r="R40" s="88">
        <v>19</v>
      </c>
      <c r="S40" s="88">
        <v>16</v>
      </c>
      <c r="T40" s="250">
        <f t="shared" si="2"/>
        <v>0.84210526315789469</v>
      </c>
      <c r="U40" s="262">
        <v>15</v>
      </c>
      <c r="V40" s="263" t="s">
        <v>62</v>
      </c>
      <c r="W40" s="113" t="s">
        <v>51</v>
      </c>
      <c r="X40" s="79" t="s">
        <v>51</v>
      </c>
      <c r="Y40" s="79" t="s">
        <v>51</v>
      </c>
      <c r="Z40" s="249" t="s">
        <v>51</v>
      </c>
      <c r="AA40" s="260" t="s">
        <v>51</v>
      </c>
      <c r="AB40" s="261" t="s">
        <v>51</v>
      </c>
      <c r="AC40" s="30"/>
      <c r="AD40" s="30"/>
      <c r="AE40" s="30"/>
      <c r="AF40" s="30"/>
      <c r="AG40" s="30"/>
      <c r="AH40" s="30"/>
      <c r="AI40" s="30"/>
      <c r="AJ40" s="30"/>
      <c r="AK40" s="30"/>
    </row>
    <row r="41" spans="1:37" ht="20.100000000000001" customHeight="1">
      <c r="A41" s="298"/>
      <c r="B41" s="11" t="s">
        <v>9</v>
      </c>
      <c r="C41" s="39">
        <v>43</v>
      </c>
      <c r="D41" s="80">
        <v>10</v>
      </c>
      <c r="E41" s="67">
        <v>2</v>
      </c>
      <c r="F41" s="67">
        <v>2</v>
      </c>
      <c r="G41" s="162">
        <f t="shared" si="0"/>
        <v>1</v>
      </c>
      <c r="H41" s="186">
        <v>10</v>
      </c>
      <c r="I41" s="187" t="s">
        <v>62</v>
      </c>
      <c r="J41" s="100">
        <f>IFERROR(F41/C41,"")</f>
        <v>4.6511627906976744E-2</v>
      </c>
      <c r="K41" s="82">
        <v>10</v>
      </c>
      <c r="L41" s="74">
        <v>3</v>
      </c>
      <c r="M41" s="74">
        <v>3</v>
      </c>
      <c r="N41" s="216">
        <f t="shared" si="1"/>
        <v>1</v>
      </c>
      <c r="O41" s="230">
        <v>10</v>
      </c>
      <c r="P41" s="240" t="s">
        <v>62</v>
      </c>
      <c r="Q41" s="113" t="s">
        <v>51</v>
      </c>
      <c r="R41" s="79" t="s">
        <v>51</v>
      </c>
      <c r="S41" s="79" t="s">
        <v>51</v>
      </c>
      <c r="T41" s="31" t="s">
        <v>54</v>
      </c>
      <c r="U41" s="260" t="s">
        <v>51</v>
      </c>
      <c r="V41" s="261" t="s">
        <v>51</v>
      </c>
      <c r="W41" s="113" t="s">
        <v>51</v>
      </c>
      <c r="X41" s="79" t="s">
        <v>51</v>
      </c>
      <c r="Y41" s="79" t="s">
        <v>51</v>
      </c>
      <c r="Z41" s="249" t="s">
        <v>51</v>
      </c>
      <c r="AA41" s="260" t="s">
        <v>51</v>
      </c>
      <c r="AB41" s="261" t="s">
        <v>51</v>
      </c>
      <c r="AC41" s="30"/>
      <c r="AD41" s="30"/>
      <c r="AE41" s="30"/>
      <c r="AF41" s="30"/>
      <c r="AG41" s="30"/>
      <c r="AH41" s="30"/>
      <c r="AI41" s="30"/>
      <c r="AJ41" s="30"/>
      <c r="AK41" s="30"/>
    </row>
    <row r="42" spans="1:37" ht="20.100000000000001" customHeight="1">
      <c r="A42" s="298"/>
      <c r="B42" s="91" t="s">
        <v>85</v>
      </c>
      <c r="C42" s="39" t="s">
        <v>51</v>
      </c>
      <c r="D42" s="68" t="s">
        <v>51</v>
      </c>
      <c r="E42" s="68" t="s">
        <v>51</v>
      </c>
      <c r="F42" s="68" t="s">
        <v>51</v>
      </c>
      <c r="G42" s="31" t="s">
        <v>54</v>
      </c>
      <c r="H42" s="189" t="s">
        <v>51</v>
      </c>
      <c r="I42" s="190" t="s">
        <v>51</v>
      </c>
      <c r="J42" s="101" t="s">
        <v>51</v>
      </c>
      <c r="K42" s="68" t="s">
        <v>51</v>
      </c>
      <c r="L42" s="68" t="s">
        <v>51</v>
      </c>
      <c r="M42" s="68" t="s">
        <v>51</v>
      </c>
      <c r="N42" s="31" t="s">
        <v>54</v>
      </c>
      <c r="O42" s="189" t="s">
        <v>51</v>
      </c>
      <c r="P42" s="190" t="s">
        <v>51</v>
      </c>
      <c r="Q42" s="114">
        <v>5</v>
      </c>
      <c r="R42" s="88">
        <v>1</v>
      </c>
      <c r="S42" s="88">
        <v>1</v>
      </c>
      <c r="T42" s="250">
        <f t="shared" si="2"/>
        <v>1</v>
      </c>
      <c r="U42" s="262">
        <v>5</v>
      </c>
      <c r="V42" s="264" t="s">
        <v>62</v>
      </c>
      <c r="W42" s="113" t="s">
        <v>51</v>
      </c>
      <c r="X42" s="79" t="s">
        <v>51</v>
      </c>
      <c r="Y42" s="79" t="s">
        <v>51</v>
      </c>
      <c r="Z42" s="249" t="s">
        <v>51</v>
      </c>
      <c r="AA42" s="260" t="s">
        <v>51</v>
      </c>
      <c r="AB42" s="261" t="s">
        <v>51</v>
      </c>
      <c r="AC42" s="30"/>
      <c r="AD42" s="30"/>
      <c r="AE42" s="30"/>
      <c r="AF42" s="30"/>
      <c r="AG42" s="30"/>
      <c r="AH42" s="30"/>
      <c r="AI42" s="30"/>
      <c r="AJ42" s="30"/>
      <c r="AK42" s="30"/>
    </row>
    <row r="43" spans="1:37" ht="20.100000000000001" customHeight="1">
      <c r="A43" s="298"/>
      <c r="B43" s="11" t="s">
        <v>22</v>
      </c>
      <c r="C43" s="39">
        <v>53</v>
      </c>
      <c r="D43" s="80">
        <v>10</v>
      </c>
      <c r="E43" s="67">
        <v>1</v>
      </c>
      <c r="F43" s="67">
        <v>1</v>
      </c>
      <c r="G43" s="162">
        <f t="shared" si="0"/>
        <v>1</v>
      </c>
      <c r="H43" s="186">
        <v>10</v>
      </c>
      <c r="I43" s="187" t="s">
        <v>62</v>
      </c>
      <c r="J43" s="100">
        <f>IFERROR(F43/C43,"")</f>
        <v>1.8867924528301886E-2</v>
      </c>
      <c r="K43" s="82">
        <v>8</v>
      </c>
      <c r="L43" s="74">
        <v>1</v>
      </c>
      <c r="M43" s="74">
        <v>1</v>
      </c>
      <c r="N43" s="216">
        <f t="shared" si="1"/>
        <v>1</v>
      </c>
      <c r="O43" s="230">
        <v>8</v>
      </c>
      <c r="P43" s="240" t="s">
        <v>62</v>
      </c>
      <c r="Q43" s="113" t="s">
        <v>51</v>
      </c>
      <c r="R43" s="79" t="s">
        <v>51</v>
      </c>
      <c r="S43" s="79" t="s">
        <v>51</v>
      </c>
      <c r="T43" s="31" t="s">
        <v>54</v>
      </c>
      <c r="U43" s="260" t="s">
        <v>51</v>
      </c>
      <c r="V43" s="261" t="s">
        <v>51</v>
      </c>
      <c r="W43" s="113" t="s">
        <v>51</v>
      </c>
      <c r="X43" s="79" t="s">
        <v>51</v>
      </c>
      <c r="Y43" s="79" t="s">
        <v>51</v>
      </c>
      <c r="Z43" s="249" t="s">
        <v>51</v>
      </c>
      <c r="AA43" s="260" t="s">
        <v>51</v>
      </c>
      <c r="AB43" s="261" t="s">
        <v>51</v>
      </c>
      <c r="AC43" s="30"/>
      <c r="AD43" s="30"/>
      <c r="AE43" s="30"/>
      <c r="AF43" s="30"/>
      <c r="AG43" s="30"/>
      <c r="AH43" s="30"/>
      <c r="AI43" s="30"/>
      <c r="AJ43" s="30"/>
      <c r="AK43" s="30"/>
    </row>
    <row r="44" spans="1:37" ht="20.100000000000001" customHeight="1">
      <c r="A44" s="298"/>
      <c r="B44" s="11" t="s">
        <v>0</v>
      </c>
      <c r="C44" s="39">
        <v>38</v>
      </c>
      <c r="D44" s="80"/>
      <c r="E44" s="67"/>
      <c r="F44" s="67"/>
      <c r="G44" s="162" t="str">
        <f t="shared" si="0"/>
        <v/>
      </c>
      <c r="H44" s="186">
        <v>3</v>
      </c>
      <c r="I44" s="187" t="s">
        <v>62</v>
      </c>
      <c r="J44" s="100">
        <f>IFERROR(F44/C44,"")</f>
        <v>0</v>
      </c>
      <c r="K44" s="82"/>
      <c r="L44" s="74"/>
      <c r="M44" s="74"/>
      <c r="N44" s="216" t="str">
        <f t="shared" si="1"/>
        <v/>
      </c>
      <c r="O44" s="230">
        <v>3</v>
      </c>
      <c r="P44" s="240" t="s">
        <v>62</v>
      </c>
      <c r="Q44" s="113" t="s">
        <v>51</v>
      </c>
      <c r="R44" s="79" t="s">
        <v>51</v>
      </c>
      <c r="S44" s="79" t="s">
        <v>51</v>
      </c>
      <c r="T44" s="31" t="s">
        <v>54</v>
      </c>
      <c r="U44" s="260" t="s">
        <v>51</v>
      </c>
      <c r="V44" s="261" t="s">
        <v>51</v>
      </c>
      <c r="W44" s="113" t="s">
        <v>51</v>
      </c>
      <c r="X44" s="79" t="s">
        <v>51</v>
      </c>
      <c r="Y44" s="79" t="s">
        <v>51</v>
      </c>
      <c r="Z44" s="249" t="s">
        <v>51</v>
      </c>
      <c r="AA44" s="260" t="s">
        <v>51</v>
      </c>
      <c r="AB44" s="261" t="s">
        <v>51</v>
      </c>
      <c r="AC44" s="30"/>
      <c r="AD44" s="30"/>
      <c r="AE44" s="30"/>
      <c r="AF44" s="30"/>
      <c r="AG44" s="30"/>
      <c r="AH44" s="30"/>
      <c r="AI44" s="30"/>
      <c r="AJ44" s="30"/>
      <c r="AK44" s="30"/>
    </row>
    <row r="45" spans="1:37" ht="20.100000000000001" customHeight="1">
      <c r="A45" s="298"/>
      <c r="B45" s="91" t="s">
        <v>89</v>
      </c>
      <c r="C45" s="39" t="s">
        <v>51</v>
      </c>
      <c r="D45" s="68" t="s">
        <v>51</v>
      </c>
      <c r="E45" s="68" t="s">
        <v>51</v>
      </c>
      <c r="F45" s="68" t="s">
        <v>51</v>
      </c>
      <c r="G45" s="31" t="s">
        <v>54</v>
      </c>
      <c r="H45" s="189" t="s">
        <v>51</v>
      </c>
      <c r="I45" s="190" t="s">
        <v>51</v>
      </c>
      <c r="J45" s="101" t="s">
        <v>51</v>
      </c>
      <c r="K45" s="68" t="s">
        <v>51</v>
      </c>
      <c r="L45" s="68" t="s">
        <v>51</v>
      </c>
      <c r="M45" s="68" t="s">
        <v>51</v>
      </c>
      <c r="N45" s="31" t="s">
        <v>54</v>
      </c>
      <c r="O45" s="189" t="s">
        <v>51</v>
      </c>
      <c r="P45" s="190" t="s">
        <v>51</v>
      </c>
      <c r="Q45" s="114">
        <v>1</v>
      </c>
      <c r="R45" s="88">
        <v>1</v>
      </c>
      <c r="S45" s="88">
        <v>1</v>
      </c>
      <c r="T45" s="250">
        <f t="shared" si="2"/>
        <v>1</v>
      </c>
      <c r="U45" s="262">
        <v>1</v>
      </c>
      <c r="V45" s="264" t="s">
        <v>62</v>
      </c>
      <c r="W45" s="113" t="s">
        <v>51</v>
      </c>
      <c r="X45" s="79" t="s">
        <v>51</v>
      </c>
      <c r="Y45" s="79" t="s">
        <v>51</v>
      </c>
      <c r="Z45" s="249" t="s">
        <v>51</v>
      </c>
      <c r="AA45" s="260" t="s">
        <v>51</v>
      </c>
      <c r="AB45" s="261" t="s">
        <v>51</v>
      </c>
      <c r="AC45" s="30"/>
      <c r="AD45" s="30"/>
      <c r="AE45" s="30"/>
      <c r="AF45" s="30"/>
      <c r="AG45" s="30"/>
      <c r="AH45" s="30"/>
      <c r="AI45" s="30"/>
      <c r="AJ45" s="30"/>
      <c r="AK45" s="30"/>
    </row>
    <row r="46" spans="1:37" ht="20.100000000000001" customHeight="1">
      <c r="A46" s="298"/>
      <c r="B46" s="11" t="s">
        <v>6</v>
      </c>
      <c r="C46" s="39">
        <v>45</v>
      </c>
      <c r="D46" s="67">
        <v>7</v>
      </c>
      <c r="E46" s="67">
        <v>5</v>
      </c>
      <c r="F46" s="67">
        <v>5</v>
      </c>
      <c r="G46" s="162">
        <f t="shared" si="0"/>
        <v>1</v>
      </c>
      <c r="H46" s="186">
        <v>7</v>
      </c>
      <c r="I46" s="187" t="s">
        <v>86</v>
      </c>
      <c r="J46" s="100">
        <f>IFERROR(F46/C46,"")</f>
        <v>0.1111111111111111</v>
      </c>
      <c r="K46" s="74">
        <v>3</v>
      </c>
      <c r="L46" s="74">
        <v>1</v>
      </c>
      <c r="M46" s="74">
        <v>1</v>
      </c>
      <c r="N46" s="216">
        <f t="shared" si="1"/>
        <v>1</v>
      </c>
      <c r="O46" s="230">
        <v>3</v>
      </c>
      <c r="P46" s="240" t="s">
        <v>86</v>
      </c>
      <c r="Q46" s="113" t="s">
        <v>51</v>
      </c>
      <c r="R46" s="79" t="s">
        <v>51</v>
      </c>
      <c r="S46" s="79" t="s">
        <v>51</v>
      </c>
      <c r="T46" s="31" t="s">
        <v>54</v>
      </c>
      <c r="U46" s="260" t="s">
        <v>51</v>
      </c>
      <c r="V46" s="261" t="s">
        <v>51</v>
      </c>
      <c r="W46" s="113" t="s">
        <v>51</v>
      </c>
      <c r="X46" s="79" t="s">
        <v>51</v>
      </c>
      <c r="Y46" s="79" t="s">
        <v>51</v>
      </c>
      <c r="Z46" s="249" t="s">
        <v>51</v>
      </c>
      <c r="AA46" s="260" t="s">
        <v>51</v>
      </c>
      <c r="AB46" s="261" t="s">
        <v>51</v>
      </c>
      <c r="AC46" s="30"/>
      <c r="AD46" s="30"/>
      <c r="AE46" s="30"/>
      <c r="AF46" s="30"/>
      <c r="AG46" s="30"/>
      <c r="AH46" s="30"/>
      <c r="AI46" s="30"/>
      <c r="AJ46" s="30"/>
      <c r="AK46" s="30"/>
    </row>
    <row r="47" spans="1:37" ht="20.100000000000001" customHeight="1">
      <c r="A47" s="298"/>
      <c r="B47" s="89" t="s">
        <v>90</v>
      </c>
      <c r="C47" s="39" t="s">
        <v>51</v>
      </c>
      <c r="D47" s="68" t="s">
        <v>51</v>
      </c>
      <c r="E47" s="68" t="s">
        <v>51</v>
      </c>
      <c r="F47" s="68" t="s">
        <v>51</v>
      </c>
      <c r="G47" s="31" t="s">
        <v>54</v>
      </c>
      <c r="H47" s="189" t="s">
        <v>51</v>
      </c>
      <c r="I47" s="190" t="s">
        <v>51</v>
      </c>
      <c r="J47" s="101" t="s">
        <v>51</v>
      </c>
      <c r="K47" s="68" t="s">
        <v>51</v>
      </c>
      <c r="L47" s="68" t="s">
        <v>51</v>
      </c>
      <c r="M47" s="68" t="s">
        <v>51</v>
      </c>
      <c r="N47" s="31" t="s">
        <v>54</v>
      </c>
      <c r="O47" s="189" t="s">
        <v>51</v>
      </c>
      <c r="P47" s="190" t="s">
        <v>51</v>
      </c>
      <c r="Q47" s="114">
        <v>3</v>
      </c>
      <c r="R47" s="88">
        <v>1</v>
      </c>
      <c r="S47" s="88">
        <v>1</v>
      </c>
      <c r="T47" s="250">
        <f t="shared" si="2"/>
        <v>1</v>
      </c>
      <c r="U47" s="262">
        <v>3</v>
      </c>
      <c r="V47" s="264" t="s">
        <v>86</v>
      </c>
      <c r="W47" s="113" t="s">
        <v>51</v>
      </c>
      <c r="X47" s="79" t="s">
        <v>51</v>
      </c>
      <c r="Y47" s="79" t="s">
        <v>51</v>
      </c>
      <c r="Z47" s="249" t="s">
        <v>51</v>
      </c>
      <c r="AA47" s="260" t="s">
        <v>51</v>
      </c>
      <c r="AB47" s="261" t="s">
        <v>51</v>
      </c>
      <c r="AC47" s="30"/>
      <c r="AD47" s="30"/>
      <c r="AE47" s="30"/>
      <c r="AF47" s="30"/>
      <c r="AG47" s="30"/>
      <c r="AH47" s="30"/>
      <c r="AI47" s="30"/>
      <c r="AJ47" s="30"/>
      <c r="AK47" s="30"/>
    </row>
    <row r="48" spans="1:37" ht="20.100000000000001" customHeight="1">
      <c r="A48" s="298"/>
      <c r="B48" s="89" t="s">
        <v>91</v>
      </c>
      <c r="C48" s="39" t="s">
        <v>51</v>
      </c>
      <c r="D48" s="68" t="s">
        <v>51</v>
      </c>
      <c r="E48" s="68" t="s">
        <v>51</v>
      </c>
      <c r="F48" s="68" t="s">
        <v>51</v>
      </c>
      <c r="G48" s="31" t="s">
        <v>54</v>
      </c>
      <c r="H48" s="189" t="s">
        <v>51</v>
      </c>
      <c r="I48" s="190" t="s">
        <v>51</v>
      </c>
      <c r="J48" s="101" t="s">
        <v>51</v>
      </c>
      <c r="K48" s="68" t="s">
        <v>51</v>
      </c>
      <c r="L48" s="68" t="s">
        <v>51</v>
      </c>
      <c r="M48" s="68" t="s">
        <v>51</v>
      </c>
      <c r="N48" s="31" t="s">
        <v>54</v>
      </c>
      <c r="O48" s="189" t="s">
        <v>51</v>
      </c>
      <c r="P48" s="190" t="s">
        <v>51</v>
      </c>
      <c r="Q48" s="114">
        <v>3</v>
      </c>
      <c r="R48" s="88">
        <v>0</v>
      </c>
      <c r="S48" s="88">
        <v>0</v>
      </c>
      <c r="T48" s="250" t="str">
        <f t="shared" si="2"/>
        <v/>
      </c>
      <c r="U48" s="262">
        <v>3</v>
      </c>
      <c r="V48" s="264" t="s">
        <v>86</v>
      </c>
      <c r="W48" s="113" t="s">
        <v>51</v>
      </c>
      <c r="X48" s="79" t="s">
        <v>51</v>
      </c>
      <c r="Y48" s="79" t="s">
        <v>51</v>
      </c>
      <c r="Z48" s="249" t="s">
        <v>51</v>
      </c>
      <c r="AA48" s="260" t="s">
        <v>51</v>
      </c>
      <c r="AB48" s="261" t="s">
        <v>51</v>
      </c>
      <c r="AC48" s="30"/>
      <c r="AD48" s="30"/>
      <c r="AE48" s="30"/>
      <c r="AF48" s="30"/>
      <c r="AG48" s="30"/>
      <c r="AH48" s="30"/>
      <c r="AI48" s="30"/>
      <c r="AJ48" s="30"/>
      <c r="AK48" s="30"/>
    </row>
    <row r="49" spans="1:37" ht="20.100000000000001" customHeight="1">
      <c r="A49" s="298"/>
      <c r="B49" s="89" t="s">
        <v>92</v>
      </c>
      <c r="C49" s="39" t="s">
        <v>51</v>
      </c>
      <c r="D49" s="68" t="s">
        <v>51</v>
      </c>
      <c r="E49" s="68" t="s">
        <v>51</v>
      </c>
      <c r="F49" s="68" t="s">
        <v>51</v>
      </c>
      <c r="G49" s="31" t="s">
        <v>54</v>
      </c>
      <c r="H49" s="189" t="s">
        <v>51</v>
      </c>
      <c r="I49" s="190" t="s">
        <v>51</v>
      </c>
      <c r="J49" s="101" t="s">
        <v>51</v>
      </c>
      <c r="K49" s="68" t="s">
        <v>51</v>
      </c>
      <c r="L49" s="68" t="s">
        <v>51</v>
      </c>
      <c r="M49" s="68" t="s">
        <v>51</v>
      </c>
      <c r="N49" s="31" t="s">
        <v>54</v>
      </c>
      <c r="O49" s="189" t="s">
        <v>51</v>
      </c>
      <c r="P49" s="190" t="s">
        <v>51</v>
      </c>
      <c r="Q49" s="114">
        <v>3</v>
      </c>
      <c r="R49" s="88">
        <v>1</v>
      </c>
      <c r="S49" s="88">
        <v>1</v>
      </c>
      <c r="T49" s="250">
        <f t="shared" si="2"/>
        <v>1</v>
      </c>
      <c r="U49" s="262">
        <v>3</v>
      </c>
      <c r="V49" s="264" t="s">
        <v>86</v>
      </c>
      <c r="W49" s="113" t="s">
        <v>51</v>
      </c>
      <c r="X49" s="79" t="s">
        <v>51</v>
      </c>
      <c r="Y49" s="79" t="s">
        <v>51</v>
      </c>
      <c r="Z49" s="249" t="s">
        <v>51</v>
      </c>
      <c r="AA49" s="260" t="s">
        <v>51</v>
      </c>
      <c r="AB49" s="261" t="s">
        <v>51</v>
      </c>
      <c r="AC49" s="30"/>
      <c r="AD49" s="30"/>
      <c r="AE49" s="30"/>
      <c r="AF49" s="30"/>
      <c r="AG49" s="30"/>
      <c r="AH49" s="30"/>
      <c r="AI49" s="30"/>
      <c r="AJ49" s="30"/>
      <c r="AK49" s="30"/>
    </row>
    <row r="50" spans="1:37" s="7" customFormat="1" ht="20.100000000000001" customHeight="1">
      <c r="A50" s="298"/>
      <c r="B50" s="12" t="s">
        <v>93</v>
      </c>
      <c r="C50" s="40">
        <f>SUM(C36:C49)</f>
        <v>248</v>
      </c>
      <c r="D50" s="69">
        <f>SUM(D36:D49)</f>
        <v>77</v>
      </c>
      <c r="E50" s="69">
        <f>SUM(E36:E49)</f>
        <v>63</v>
      </c>
      <c r="F50" s="69">
        <f>SUM(F36:F49)</f>
        <v>48</v>
      </c>
      <c r="G50" s="163">
        <f t="shared" si="0"/>
        <v>0.76190476190476186</v>
      </c>
      <c r="H50" s="191">
        <f>SUM(H36:H49)</f>
        <v>80</v>
      </c>
      <c r="I50" s="192" t="s">
        <v>51</v>
      </c>
      <c r="J50" s="102">
        <f>IFERROR(F50/C50,"")</f>
        <v>0.19354838709677419</v>
      </c>
      <c r="K50" s="69">
        <f>SUM(K36:K49)</f>
        <v>51</v>
      </c>
      <c r="L50" s="69">
        <f>SUM(L36:L49)</f>
        <v>27</v>
      </c>
      <c r="M50" s="69">
        <f>SUM(M36:M49)</f>
        <v>24</v>
      </c>
      <c r="N50" s="163">
        <f t="shared" si="1"/>
        <v>0.88888888888888884</v>
      </c>
      <c r="O50" s="191">
        <f>SUM(O36:O49)</f>
        <v>54</v>
      </c>
      <c r="P50" s="192" t="s">
        <v>51</v>
      </c>
      <c r="Q50" s="115">
        <f>SUM(Q36:Q49)</f>
        <v>40</v>
      </c>
      <c r="R50" s="69">
        <f>SUM(R36:R49)</f>
        <v>30</v>
      </c>
      <c r="S50" s="69">
        <f>SUM(S36:S49)</f>
        <v>25</v>
      </c>
      <c r="T50" s="163">
        <f t="shared" si="2"/>
        <v>0.83333333333333337</v>
      </c>
      <c r="U50" s="191">
        <f>SUM(U36:U49)</f>
        <v>40</v>
      </c>
      <c r="V50" s="192" t="s">
        <v>51</v>
      </c>
      <c r="W50" s="115" t="s">
        <v>51</v>
      </c>
      <c r="X50" s="69">
        <f>SUM(X36:X49)</f>
        <v>0</v>
      </c>
      <c r="Y50" s="69">
        <f>SUM(Y36:Y49)</f>
        <v>0</v>
      </c>
      <c r="Z50" s="163" t="str">
        <f>IFERROR(Y50/X50,"")</f>
        <v/>
      </c>
      <c r="AA50" s="191">
        <f>SUM(AA36:AA49)</f>
        <v>0</v>
      </c>
      <c r="AB50" s="192" t="s">
        <v>51</v>
      </c>
    </row>
    <row r="51" spans="1:37" ht="20.100000000000001" customHeight="1">
      <c r="A51" s="283" t="s">
        <v>3</v>
      </c>
      <c r="B51" s="8" t="s">
        <v>11</v>
      </c>
      <c r="C51" s="31">
        <v>160</v>
      </c>
      <c r="D51" s="32">
        <v>25</v>
      </c>
      <c r="E51" s="54">
        <v>61</v>
      </c>
      <c r="F51" s="54">
        <v>25</v>
      </c>
      <c r="G51" s="157">
        <f t="shared" si="0"/>
        <v>0.4098360655737705</v>
      </c>
      <c r="H51" s="173">
        <v>25</v>
      </c>
      <c r="I51" s="183" t="s">
        <v>53</v>
      </c>
      <c r="J51" s="97">
        <v>0</v>
      </c>
      <c r="K51" s="33">
        <v>14</v>
      </c>
      <c r="L51" s="55">
        <v>23</v>
      </c>
      <c r="M51" s="55">
        <v>16</v>
      </c>
      <c r="N51" s="213">
        <f t="shared" si="1"/>
        <v>0.69565217391304346</v>
      </c>
      <c r="O51" s="226">
        <v>12</v>
      </c>
      <c r="P51" s="232" t="s">
        <v>53</v>
      </c>
      <c r="Q51" s="110" t="s">
        <v>51</v>
      </c>
      <c r="R51" s="34" t="s">
        <v>51</v>
      </c>
      <c r="S51" s="34" t="s">
        <v>51</v>
      </c>
      <c r="T51" s="31" t="s">
        <v>54</v>
      </c>
      <c r="U51" s="180" t="s">
        <v>51</v>
      </c>
      <c r="V51" s="257" t="s">
        <v>51</v>
      </c>
      <c r="W51" s="110" t="s">
        <v>51</v>
      </c>
      <c r="X51" s="34" t="s">
        <v>51</v>
      </c>
      <c r="Y51" s="34" t="s">
        <v>51</v>
      </c>
      <c r="Z51" s="160" t="s">
        <v>51</v>
      </c>
      <c r="AA51" s="180" t="s">
        <v>51</v>
      </c>
      <c r="AB51" s="257" t="s">
        <v>51</v>
      </c>
      <c r="AC51" s="30"/>
      <c r="AD51" s="30"/>
      <c r="AE51" s="30"/>
      <c r="AF51" s="30"/>
      <c r="AG51" s="30"/>
      <c r="AH51" s="30"/>
      <c r="AI51" s="30"/>
      <c r="AJ51" s="30"/>
      <c r="AK51" s="30"/>
    </row>
    <row r="52" spans="1:37" ht="20.100000000000001" customHeight="1">
      <c r="A52" s="283"/>
      <c r="B52" s="92" t="s">
        <v>94</v>
      </c>
      <c r="C52" s="31" t="s">
        <v>54</v>
      </c>
      <c r="D52" s="31" t="s">
        <v>51</v>
      </c>
      <c r="E52" s="31" t="s">
        <v>51</v>
      </c>
      <c r="F52" s="31" t="s">
        <v>51</v>
      </c>
      <c r="G52" s="31" t="s">
        <v>54</v>
      </c>
      <c r="H52" s="177" t="s">
        <v>51</v>
      </c>
      <c r="I52" s="178" t="s">
        <v>51</v>
      </c>
      <c r="J52" s="98" t="s">
        <v>51</v>
      </c>
      <c r="K52" s="31" t="s">
        <v>51</v>
      </c>
      <c r="L52" s="31" t="s">
        <v>51</v>
      </c>
      <c r="M52" s="31" t="s">
        <v>51</v>
      </c>
      <c r="N52" s="31" t="s">
        <v>54</v>
      </c>
      <c r="O52" s="177" t="s">
        <v>51</v>
      </c>
      <c r="P52" s="178" t="s">
        <v>51</v>
      </c>
      <c r="Q52" s="111">
        <v>20</v>
      </c>
      <c r="R52" s="85">
        <v>2</v>
      </c>
      <c r="S52" s="85">
        <v>2</v>
      </c>
      <c r="T52" s="250">
        <f t="shared" si="2"/>
        <v>1</v>
      </c>
      <c r="U52" s="256">
        <v>20</v>
      </c>
      <c r="V52" s="258" t="s">
        <v>65</v>
      </c>
      <c r="W52" s="110" t="s">
        <v>51</v>
      </c>
      <c r="X52" s="34" t="s">
        <v>51</v>
      </c>
      <c r="Y52" s="34" t="s">
        <v>51</v>
      </c>
      <c r="Z52" s="160" t="s">
        <v>51</v>
      </c>
      <c r="AA52" s="180" t="s">
        <v>51</v>
      </c>
      <c r="AB52" s="257" t="s">
        <v>51</v>
      </c>
      <c r="AC52" s="30"/>
      <c r="AD52" s="30"/>
      <c r="AE52" s="30"/>
      <c r="AF52" s="30"/>
      <c r="AG52" s="30"/>
      <c r="AH52" s="30"/>
      <c r="AI52" s="30"/>
      <c r="AJ52" s="30"/>
      <c r="AK52" s="30"/>
    </row>
    <row r="53" spans="1:37" ht="20.100000000000001" customHeight="1">
      <c r="A53" s="283"/>
      <c r="B53" s="92" t="s">
        <v>95</v>
      </c>
      <c r="C53" s="31" t="s">
        <v>54</v>
      </c>
      <c r="D53" s="31" t="s">
        <v>51</v>
      </c>
      <c r="E53" s="31" t="s">
        <v>51</v>
      </c>
      <c r="F53" s="31" t="s">
        <v>51</v>
      </c>
      <c r="G53" s="31" t="s">
        <v>54</v>
      </c>
      <c r="H53" s="177" t="s">
        <v>51</v>
      </c>
      <c r="I53" s="178" t="s">
        <v>51</v>
      </c>
      <c r="J53" s="98" t="s">
        <v>51</v>
      </c>
      <c r="K53" s="31" t="s">
        <v>51</v>
      </c>
      <c r="L53" s="31" t="s">
        <v>51</v>
      </c>
      <c r="M53" s="31" t="s">
        <v>51</v>
      </c>
      <c r="N53" s="31" t="s">
        <v>54</v>
      </c>
      <c r="O53" s="177" t="s">
        <v>51</v>
      </c>
      <c r="P53" s="178" t="s">
        <v>51</v>
      </c>
      <c r="Q53" s="111">
        <v>20</v>
      </c>
      <c r="R53" s="85">
        <v>7</v>
      </c>
      <c r="S53" s="85">
        <v>7</v>
      </c>
      <c r="T53" s="250">
        <f t="shared" si="2"/>
        <v>1</v>
      </c>
      <c r="U53" s="256">
        <v>20</v>
      </c>
      <c r="V53" s="258" t="s">
        <v>65</v>
      </c>
      <c r="W53" s="110" t="s">
        <v>51</v>
      </c>
      <c r="X53" s="34" t="s">
        <v>51</v>
      </c>
      <c r="Y53" s="34" t="s">
        <v>51</v>
      </c>
      <c r="Z53" s="160" t="s">
        <v>51</v>
      </c>
      <c r="AA53" s="180" t="s">
        <v>51</v>
      </c>
      <c r="AB53" s="257" t="s">
        <v>51</v>
      </c>
      <c r="AC53" s="30"/>
      <c r="AD53" s="30"/>
      <c r="AE53" s="30"/>
      <c r="AF53" s="30"/>
      <c r="AG53" s="30"/>
      <c r="AH53" s="30"/>
      <c r="AI53" s="30"/>
      <c r="AJ53" s="30"/>
      <c r="AK53" s="30"/>
    </row>
    <row r="54" spans="1:37" ht="20.100000000000001" customHeight="1">
      <c r="A54" s="283"/>
      <c r="B54" s="8" t="s">
        <v>35</v>
      </c>
      <c r="C54" s="31">
        <v>40</v>
      </c>
      <c r="D54" s="32">
        <v>6</v>
      </c>
      <c r="E54" s="54">
        <v>15</v>
      </c>
      <c r="F54" s="54">
        <v>6</v>
      </c>
      <c r="G54" s="157">
        <f t="shared" si="0"/>
        <v>0.4</v>
      </c>
      <c r="H54" s="173">
        <v>6</v>
      </c>
      <c r="I54" s="183" t="s">
        <v>53</v>
      </c>
      <c r="J54" s="97">
        <v>0</v>
      </c>
      <c r="K54" s="33">
        <v>2</v>
      </c>
      <c r="L54" s="55">
        <v>5</v>
      </c>
      <c r="M54" s="55">
        <v>2</v>
      </c>
      <c r="N54" s="213">
        <f t="shared" si="1"/>
        <v>0.4</v>
      </c>
      <c r="O54" s="226">
        <v>2</v>
      </c>
      <c r="P54" s="232" t="s">
        <v>53</v>
      </c>
      <c r="Q54" s="110" t="s">
        <v>51</v>
      </c>
      <c r="R54" s="34" t="s">
        <v>51</v>
      </c>
      <c r="S54" s="34" t="s">
        <v>51</v>
      </c>
      <c r="T54" s="31" t="s">
        <v>54</v>
      </c>
      <c r="U54" s="180" t="s">
        <v>51</v>
      </c>
      <c r="V54" s="257" t="s">
        <v>51</v>
      </c>
      <c r="W54" s="110" t="s">
        <v>51</v>
      </c>
      <c r="X54" s="34" t="s">
        <v>51</v>
      </c>
      <c r="Y54" s="34" t="s">
        <v>51</v>
      </c>
      <c r="Z54" s="160" t="s">
        <v>51</v>
      </c>
      <c r="AA54" s="180" t="s">
        <v>51</v>
      </c>
      <c r="AB54" s="257" t="s">
        <v>51</v>
      </c>
      <c r="AC54" s="30"/>
      <c r="AD54" s="30"/>
      <c r="AE54" s="30"/>
      <c r="AF54" s="30"/>
      <c r="AG54" s="30"/>
      <c r="AH54" s="30"/>
      <c r="AI54" s="30"/>
      <c r="AJ54" s="30"/>
      <c r="AK54" s="30"/>
    </row>
    <row r="55" spans="1:37" ht="20.100000000000001" customHeight="1">
      <c r="A55" s="283"/>
      <c r="B55" s="92" t="s">
        <v>96</v>
      </c>
      <c r="C55" s="31" t="s">
        <v>54</v>
      </c>
      <c r="D55" s="31" t="s">
        <v>51</v>
      </c>
      <c r="E55" s="31" t="s">
        <v>51</v>
      </c>
      <c r="F55" s="31" t="s">
        <v>51</v>
      </c>
      <c r="G55" s="31" t="s">
        <v>54</v>
      </c>
      <c r="H55" s="177" t="s">
        <v>51</v>
      </c>
      <c r="I55" s="178" t="s">
        <v>51</v>
      </c>
      <c r="J55" s="98" t="s">
        <v>51</v>
      </c>
      <c r="K55" s="31" t="s">
        <v>51</v>
      </c>
      <c r="L55" s="31" t="s">
        <v>51</v>
      </c>
      <c r="M55" s="31" t="s">
        <v>51</v>
      </c>
      <c r="N55" s="31" t="s">
        <v>54</v>
      </c>
      <c r="O55" s="177" t="s">
        <v>51</v>
      </c>
      <c r="P55" s="178" t="s">
        <v>51</v>
      </c>
      <c r="Q55" s="111">
        <v>4</v>
      </c>
      <c r="R55" s="85">
        <v>2</v>
      </c>
      <c r="S55" s="85">
        <v>2</v>
      </c>
      <c r="T55" s="250">
        <f t="shared" si="2"/>
        <v>1</v>
      </c>
      <c r="U55" s="256">
        <v>4</v>
      </c>
      <c r="V55" s="258" t="s">
        <v>97</v>
      </c>
      <c r="W55" s="110" t="s">
        <v>51</v>
      </c>
      <c r="X55" s="34" t="s">
        <v>51</v>
      </c>
      <c r="Y55" s="34" t="s">
        <v>51</v>
      </c>
      <c r="Z55" s="160" t="s">
        <v>51</v>
      </c>
      <c r="AA55" s="180" t="s">
        <v>51</v>
      </c>
      <c r="AB55" s="257" t="s">
        <v>51</v>
      </c>
      <c r="AC55" s="30"/>
      <c r="AD55" s="30"/>
      <c r="AE55" s="30"/>
      <c r="AF55" s="30"/>
      <c r="AG55" s="30"/>
      <c r="AH55" s="30"/>
      <c r="AI55" s="30"/>
      <c r="AJ55" s="30"/>
      <c r="AK55" s="30"/>
    </row>
    <row r="56" spans="1:37" ht="20.100000000000001" customHeight="1">
      <c r="A56" s="283"/>
      <c r="B56" s="13" t="s">
        <v>129</v>
      </c>
      <c r="C56" s="31">
        <v>80</v>
      </c>
      <c r="D56" s="32">
        <v>12</v>
      </c>
      <c r="E56" s="54">
        <v>12</v>
      </c>
      <c r="F56" s="54">
        <v>10</v>
      </c>
      <c r="G56" s="157">
        <f t="shared" si="0"/>
        <v>0.83333333333333337</v>
      </c>
      <c r="H56" s="173">
        <v>12</v>
      </c>
      <c r="I56" s="179" t="s">
        <v>57</v>
      </c>
      <c r="J56" s="97">
        <v>0</v>
      </c>
      <c r="K56" s="33">
        <v>4</v>
      </c>
      <c r="L56" s="55">
        <v>4</v>
      </c>
      <c r="M56" s="55">
        <v>2</v>
      </c>
      <c r="N56" s="213">
        <f t="shared" si="1"/>
        <v>0.5</v>
      </c>
      <c r="O56" s="226">
        <v>4</v>
      </c>
      <c r="P56" s="237" t="s">
        <v>168</v>
      </c>
      <c r="Q56" s="110" t="s">
        <v>51</v>
      </c>
      <c r="R56" s="34" t="s">
        <v>51</v>
      </c>
      <c r="S56" s="34" t="s">
        <v>51</v>
      </c>
      <c r="T56" s="31" t="s">
        <v>54</v>
      </c>
      <c r="U56" s="180" t="s">
        <v>51</v>
      </c>
      <c r="V56" s="257" t="s">
        <v>51</v>
      </c>
      <c r="W56" s="110" t="s">
        <v>51</v>
      </c>
      <c r="X56" s="34" t="s">
        <v>51</v>
      </c>
      <c r="Y56" s="34" t="s">
        <v>51</v>
      </c>
      <c r="Z56" s="160" t="s">
        <v>51</v>
      </c>
      <c r="AA56" s="180" t="s">
        <v>51</v>
      </c>
      <c r="AB56" s="257" t="s">
        <v>51</v>
      </c>
      <c r="AC56" s="30"/>
      <c r="AD56" s="30"/>
      <c r="AE56" s="30"/>
      <c r="AF56" s="30"/>
      <c r="AG56" s="30"/>
      <c r="AH56" s="30"/>
      <c r="AI56" s="30"/>
      <c r="AJ56" s="30"/>
      <c r="AK56" s="30"/>
    </row>
    <row r="57" spans="1:37" ht="20.100000000000001" customHeight="1">
      <c r="A57" s="283"/>
      <c r="B57" s="92" t="s">
        <v>130</v>
      </c>
      <c r="C57" s="31" t="s">
        <v>54</v>
      </c>
      <c r="D57" s="31" t="s">
        <v>51</v>
      </c>
      <c r="E57" s="31" t="s">
        <v>51</v>
      </c>
      <c r="F57" s="31" t="s">
        <v>51</v>
      </c>
      <c r="G57" s="31" t="s">
        <v>54</v>
      </c>
      <c r="H57" s="177" t="s">
        <v>51</v>
      </c>
      <c r="I57" s="178" t="s">
        <v>51</v>
      </c>
      <c r="J57" s="98" t="s">
        <v>51</v>
      </c>
      <c r="K57" s="31" t="s">
        <v>51</v>
      </c>
      <c r="L57" s="31" t="s">
        <v>51</v>
      </c>
      <c r="M57" s="31" t="s">
        <v>51</v>
      </c>
      <c r="N57" s="31" t="s">
        <v>54</v>
      </c>
      <c r="O57" s="177" t="s">
        <v>51</v>
      </c>
      <c r="P57" s="178" t="s">
        <v>51</v>
      </c>
      <c r="Q57" s="111">
        <v>2</v>
      </c>
      <c r="R57" s="85">
        <v>2</v>
      </c>
      <c r="S57" s="85">
        <v>2</v>
      </c>
      <c r="T57" s="250">
        <f t="shared" si="2"/>
        <v>1</v>
      </c>
      <c r="U57" s="256">
        <v>2</v>
      </c>
      <c r="V57" s="259" t="s">
        <v>62</v>
      </c>
      <c r="W57" s="110" t="s">
        <v>51</v>
      </c>
      <c r="X57" s="34" t="s">
        <v>51</v>
      </c>
      <c r="Y57" s="34" t="s">
        <v>51</v>
      </c>
      <c r="Z57" s="160" t="s">
        <v>51</v>
      </c>
      <c r="AA57" s="180" t="s">
        <v>51</v>
      </c>
      <c r="AB57" s="257" t="s">
        <v>51</v>
      </c>
      <c r="AC57" s="30"/>
      <c r="AD57" s="30"/>
      <c r="AE57" s="30"/>
      <c r="AF57" s="30"/>
      <c r="AG57" s="30"/>
      <c r="AH57" s="30"/>
      <c r="AI57" s="30"/>
      <c r="AJ57" s="30"/>
      <c r="AK57" s="30"/>
    </row>
    <row r="58" spans="1:37" ht="20.100000000000001" customHeight="1">
      <c r="A58" s="283"/>
      <c r="B58" s="13" t="s">
        <v>4</v>
      </c>
      <c r="C58" s="31">
        <v>78</v>
      </c>
      <c r="D58" s="32">
        <v>12</v>
      </c>
      <c r="E58" s="54">
        <v>25</v>
      </c>
      <c r="F58" s="54">
        <v>12</v>
      </c>
      <c r="G58" s="157">
        <f t="shared" si="0"/>
        <v>0.48</v>
      </c>
      <c r="H58" s="173">
        <v>12</v>
      </c>
      <c r="I58" s="179" t="s">
        <v>169</v>
      </c>
      <c r="J58" s="97">
        <v>0</v>
      </c>
      <c r="K58" s="33">
        <v>100</v>
      </c>
      <c r="L58" s="55">
        <v>9</v>
      </c>
      <c r="M58" s="55">
        <v>5</v>
      </c>
      <c r="N58" s="213">
        <f t="shared" si="1"/>
        <v>0.55555555555555558</v>
      </c>
      <c r="O58" s="226">
        <v>100</v>
      </c>
      <c r="P58" s="237" t="s">
        <v>170</v>
      </c>
      <c r="Q58" s="110" t="s">
        <v>51</v>
      </c>
      <c r="R58" s="34" t="s">
        <v>51</v>
      </c>
      <c r="S58" s="34" t="s">
        <v>51</v>
      </c>
      <c r="T58" s="31" t="s">
        <v>54</v>
      </c>
      <c r="U58" s="180" t="s">
        <v>51</v>
      </c>
      <c r="V58" s="257" t="s">
        <v>51</v>
      </c>
      <c r="W58" s="110" t="s">
        <v>51</v>
      </c>
      <c r="X58" s="34" t="s">
        <v>51</v>
      </c>
      <c r="Y58" s="34" t="s">
        <v>51</v>
      </c>
      <c r="Z58" s="160" t="s">
        <v>51</v>
      </c>
      <c r="AA58" s="180" t="s">
        <v>51</v>
      </c>
      <c r="AB58" s="257" t="s">
        <v>51</v>
      </c>
      <c r="AC58" s="30"/>
      <c r="AD58" s="30"/>
      <c r="AE58" s="30"/>
      <c r="AF58" s="30"/>
      <c r="AG58" s="30"/>
      <c r="AH58" s="30"/>
      <c r="AI58" s="30"/>
      <c r="AJ58" s="30"/>
      <c r="AK58" s="30"/>
    </row>
    <row r="59" spans="1:37" s="7" customFormat="1" ht="20.100000000000001" customHeight="1">
      <c r="A59" s="283"/>
      <c r="B59" s="10" t="s">
        <v>79</v>
      </c>
      <c r="C59" s="38">
        <f>SUM(C51:C58)</f>
        <v>358</v>
      </c>
      <c r="D59" s="38">
        <f>SUM(D51:D58)</f>
        <v>55</v>
      </c>
      <c r="E59" s="38">
        <f>SUM(E51:E58)</f>
        <v>113</v>
      </c>
      <c r="F59" s="38">
        <f>SUM(F51:F58)</f>
        <v>53</v>
      </c>
      <c r="G59" s="161">
        <f t="shared" si="0"/>
        <v>0.46902654867256638</v>
      </c>
      <c r="H59" s="184">
        <f>SUM(H51:H58)</f>
        <v>55</v>
      </c>
      <c r="I59" s="185" t="s">
        <v>54</v>
      </c>
      <c r="J59" s="99">
        <f>IFERROR(F59/C59,"")</f>
        <v>0.14804469273743018</v>
      </c>
      <c r="K59" s="38">
        <f>SUM(K51:K58)</f>
        <v>120</v>
      </c>
      <c r="L59" s="38">
        <f>SUM(L51:L58)</f>
        <v>41</v>
      </c>
      <c r="M59" s="38">
        <f>SUM(M51:M58)</f>
        <v>25</v>
      </c>
      <c r="N59" s="161">
        <f t="shared" si="1"/>
        <v>0.6097560975609756</v>
      </c>
      <c r="O59" s="184">
        <f>SUM(O51:O58)</f>
        <v>118</v>
      </c>
      <c r="P59" s="185" t="s">
        <v>54</v>
      </c>
      <c r="Q59" s="112">
        <f>SUM(Q51:Q58)</f>
        <v>46</v>
      </c>
      <c r="R59" s="38">
        <f>SUM(R51:R58)</f>
        <v>13</v>
      </c>
      <c r="S59" s="38">
        <f>SUM(S51:S58)</f>
        <v>13</v>
      </c>
      <c r="T59" s="161">
        <f t="shared" si="2"/>
        <v>1</v>
      </c>
      <c r="U59" s="184">
        <f>SUM(U51:U58)</f>
        <v>46</v>
      </c>
      <c r="V59" s="185" t="s">
        <v>54</v>
      </c>
      <c r="W59" s="112">
        <f>SUM(W51:W58)</f>
        <v>0</v>
      </c>
      <c r="X59" s="38">
        <f>SUM(X51:X58)</f>
        <v>0</v>
      </c>
      <c r="Y59" s="38">
        <f>SUM(Y51:Y58)</f>
        <v>0</v>
      </c>
      <c r="Z59" s="161" t="str">
        <f>IFERROR(Y59/X59,"")</f>
        <v/>
      </c>
      <c r="AA59" s="184">
        <f>SUM(AA51:AA58)</f>
        <v>0</v>
      </c>
      <c r="AB59" s="185" t="s">
        <v>54</v>
      </c>
    </row>
    <row r="60" spans="1:37" ht="20.100000000000001" customHeight="1">
      <c r="A60" s="284" t="s">
        <v>16</v>
      </c>
      <c r="B60" s="41" t="s">
        <v>41</v>
      </c>
      <c r="C60" s="42">
        <v>28</v>
      </c>
      <c r="D60" s="81">
        <v>6</v>
      </c>
      <c r="E60" s="70">
        <v>2</v>
      </c>
      <c r="F60" s="70">
        <v>2</v>
      </c>
      <c r="G60" s="164">
        <f t="shared" si="0"/>
        <v>1</v>
      </c>
      <c r="H60" s="193">
        <v>6</v>
      </c>
      <c r="I60" s="194" t="s">
        <v>171</v>
      </c>
      <c r="J60" s="103">
        <v>0</v>
      </c>
      <c r="K60" s="75" t="s">
        <v>51</v>
      </c>
      <c r="L60" s="75" t="s">
        <v>51</v>
      </c>
      <c r="M60" s="75" t="s">
        <v>51</v>
      </c>
      <c r="N60" s="31" t="s">
        <v>54</v>
      </c>
      <c r="O60" s="231" t="s">
        <v>51</v>
      </c>
      <c r="P60" s="242" t="s">
        <v>186</v>
      </c>
      <c r="Q60" s="116" t="s">
        <v>51</v>
      </c>
      <c r="R60" s="75" t="s">
        <v>51</v>
      </c>
      <c r="S60" s="75" t="s">
        <v>51</v>
      </c>
      <c r="T60" s="31" t="s">
        <v>54</v>
      </c>
      <c r="U60" s="231" t="s">
        <v>51</v>
      </c>
      <c r="V60" s="242" t="s">
        <v>51</v>
      </c>
      <c r="W60" s="116" t="s">
        <v>51</v>
      </c>
      <c r="X60" s="75" t="s">
        <v>51</v>
      </c>
      <c r="Y60" s="75" t="s">
        <v>51</v>
      </c>
      <c r="Z60" s="217" t="s">
        <v>51</v>
      </c>
      <c r="AA60" s="231" t="s">
        <v>51</v>
      </c>
      <c r="AB60" s="242" t="s">
        <v>51</v>
      </c>
      <c r="AC60" s="30"/>
      <c r="AD60" s="30"/>
      <c r="AE60" s="30"/>
      <c r="AF60" s="30"/>
      <c r="AG60" s="30"/>
      <c r="AH60" s="30"/>
      <c r="AI60" s="30"/>
      <c r="AJ60" s="30"/>
      <c r="AK60" s="30"/>
    </row>
    <row r="61" spans="1:37" ht="20.100000000000001" customHeight="1">
      <c r="A61" s="284"/>
      <c r="B61" s="41" t="s">
        <v>39</v>
      </c>
      <c r="C61" s="42">
        <v>27</v>
      </c>
      <c r="D61" s="81">
        <v>10</v>
      </c>
      <c r="E61" s="70">
        <v>2</v>
      </c>
      <c r="F61" s="70">
        <v>2</v>
      </c>
      <c r="G61" s="164">
        <f t="shared" si="0"/>
        <v>1</v>
      </c>
      <c r="H61" s="193">
        <v>10</v>
      </c>
      <c r="I61" s="195" t="s">
        <v>98</v>
      </c>
      <c r="J61" s="103">
        <v>0</v>
      </c>
      <c r="K61" s="75" t="s">
        <v>51</v>
      </c>
      <c r="L61" s="75" t="s">
        <v>51</v>
      </c>
      <c r="M61" s="75" t="s">
        <v>51</v>
      </c>
      <c r="N61" s="31" t="s">
        <v>54</v>
      </c>
      <c r="O61" s="231" t="s">
        <v>51</v>
      </c>
      <c r="P61" s="242" t="s">
        <v>51</v>
      </c>
      <c r="Q61" s="116" t="s">
        <v>51</v>
      </c>
      <c r="R61" s="75" t="s">
        <v>51</v>
      </c>
      <c r="S61" s="75" t="s">
        <v>51</v>
      </c>
      <c r="T61" s="31" t="s">
        <v>54</v>
      </c>
      <c r="U61" s="231" t="s">
        <v>51</v>
      </c>
      <c r="V61" s="242" t="s">
        <v>51</v>
      </c>
      <c r="W61" s="116" t="s">
        <v>51</v>
      </c>
      <c r="X61" s="75" t="s">
        <v>51</v>
      </c>
      <c r="Y61" s="75" t="s">
        <v>51</v>
      </c>
      <c r="Z61" s="217" t="s">
        <v>51</v>
      </c>
      <c r="AA61" s="231" t="s">
        <v>51</v>
      </c>
      <c r="AB61" s="242" t="s">
        <v>51</v>
      </c>
      <c r="AC61" s="30"/>
      <c r="AD61" s="30"/>
      <c r="AE61" s="30"/>
      <c r="AF61" s="30"/>
      <c r="AG61" s="30"/>
      <c r="AH61" s="30"/>
      <c r="AI61" s="30"/>
      <c r="AJ61" s="30"/>
      <c r="AK61" s="30"/>
    </row>
    <row r="62" spans="1:37" ht="20.100000000000001" customHeight="1">
      <c r="A62" s="284"/>
      <c r="B62" s="41" t="s">
        <v>17</v>
      </c>
      <c r="C62" s="42">
        <v>27</v>
      </c>
      <c r="D62" s="81">
        <v>9</v>
      </c>
      <c r="E62" s="70">
        <v>5</v>
      </c>
      <c r="F62" s="70">
        <v>3</v>
      </c>
      <c r="G62" s="164">
        <f t="shared" si="0"/>
        <v>0.6</v>
      </c>
      <c r="H62" s="193">
        <v>9</v>
      </c>
      <c r="I62" s="194" t="s">
        <v>53</v>
      </c>
      <c r="J62" s="103">
        <v>0</v>
      </c>
      <c r="K62" s="75" t="s">
        <v>51</v>
      </c>
      <c r="L62" s="75" t="s">
        <v>51</v>
      </c>
      <c r="M62" s="75" t="s">
        <v>51</v>
      </c>
      <c r="N62" s="31" t="s">
        <v>54</v>
      </c>
      <c r="O62" s="231" t="s">
        <v>51</v>
      </c>
      <c r="P62" s="242" t="s">
        <v>51</v>
      </c>
      <c r="Q62" s="116" t="s">
        <v>51</v>
      </c>
      <c r="R62" s="75" t="s">
        <v>51</v>
      </c>
      <c r="S62" s="75" t="s">
        <v>51</v>
      </c>
      <c r="T62" s="31" t="s">
        <v>54</v>
      </c>
      <c r="U62" s="231" t="s">
        <v>51</v>
      </c>
      <c r="V62" s="242" t="s">
        <v>51</v>
      </c>
      <c r="W62" s="116" t="s">
        <v>51</v>
      </c>
      <c r="X62" s="75" t="s">
        <v>51</v>
      </c>
      <c r="Y62" s="75" t="s">
        <v>51</v>
      </c>
      <c r="Z62" s="217" t="s">
        <v>51</v>
      </c>
      <c r="AA62" s="231" t="s">
        <v>51</v>
      </c>
      <c r="AB62" s="242" t="s">
        <v>51</v>
      </c>
      <c r="AC62" s="30"/>
      <c r="AD62" s="30"/>
      <c r="AE62" s="30"/>
      <c r="AF62" s="30"/>
      <c r="AG62" s="30"/>
      <c r="AH62" s="30"/>
      <c r="AI62" s="30"/>
      <c r="AJ62" s="30"/>
      <c r="AK62" s="30"/>
    </row>
    <row r="63" spans="1:37" ht="20.100000000000001" customHeight="1">
      <c r="A63" s="284"/>
      <c r="B63" s="90" t="s">
        <v>172</v>
      </c>
      <c r="C63" s="42" t="s">
        <v>51</v>
      </c>
      <c r="D63" s="71" t="s">
        <v>51</v>
      </c>
      <c r="E63" s="71" t="s">
        <v>51</v>
      </c>
      <c r="F63" s="71" t="s">
        <v>51</v>
      </c>
      <c r="G63" s="31" t="s">
        <v>54</v>
      </c>
      <c r="H63" s="196" t="s">
        <v>51</v>
      </c>
      <c r="I63" s="197" t="s">
        <v>51</v>
      </c>
      <c r="J63" s="104" t="s">
        <v>51</v>
      </c>
      <c r="K63" s="71" t="s">
        <v>51</v>
      </c>
      <c r="L63" s="71" t="s">
        <v>51</v>
      </c>
      <c r="M63" s="71" t="s">
        <v>51</v>
      </c>
      <c r="N63" s="31" t="s">
        <v>54</v>
      </c>
      <c r="O63" s="196" t="s">
        <v>51</v>
      </c>
      <c r="P63" s="197" t="s">
        <v>51</v>
      </c>
      <c r="Q63" s="111">
        <v>9</v>
      </c>
      <c r="R63" s="85">
        <v>1</v>
      </c>
      <c r="S63" s="85">
        <v>1</v>
      </c>
      <c r="T63" s="251">
        <f t="shared" si="2"/>
        <v>1</v>
      </c>
      <c r="U63" s="256"/>
      <c r="V63" s="265" t="s">
        <v>99</v>
      </c>
      <c r="W63" s="116" t="s">
        <v>51</v>
      </c>
      <c r="X63" s="75" t="s">
        <v>51</v>
      </c>
      <c r="Y63" s="75" t="s">
        <v>51</v>
      </c>
      <c r="Z63" s="217" t="s">
        <v>51</v>
      </c>
      <c r="AA63" s="231" t="s">
        <v>51</v>
      </c>
      <c r="AB63" s="242" t="s">
        <v>51</v>
      </c>
      <c r="AC63" s="30"/>
      <c r="AD63" s="30"/>
      <c r="AE63" s="30"/>
      <c r="AF63" s="30"/>
      <c r="AG63" s="30"/>
      <c r="AH63" s="30"/>
      <c r="AI63" s="30"/>
      <c r="AJ63" s="30"/>
      <c r="AK63" s="30"/>
    </row>
    <row r="64" spans="1:37" ht="20.100000000000001" customHeight="1">
      <c r="A64" s="285"/>
      <c r="B64" s="43" t="s">
        <v>18</v>
      </c>
      <c r="C64" s="42">
        <v>39</v>
      </c>
      <c r="D64" s="81">
        <v>3</v>
      </c>
      <c r="E64" s="70">
        <v>1</v>
      </c>
      <c r="F64" s="70">
        <v>1</v>
      </c>
      <c r="G64" s="164">
        <f t="shared" si="0"/>
        <v>1</v>
      </c>
      <c r="H64" s="193">
        <v>3</v>
      </c>
      <c r="I64" s="195" t="s">
        <v>100</v>
      </c>
      <c r="J64" s="103">
        <v>0</v>
      </c>
      <c r="K64" s="75" t="s">
        <v>51</v>
      </c>
      <c r="L64" s="75" t="s">
        <v>51</v>
      </c>
      <c r="M64" s="75" t="s">
        <v>51</v>
      </c>
      <c r="N64" s="31" t="s">
        <v>54</v>
      </c>
      <c r="O64" s="231" t="s">
        <v>51</v>
      </c>
      <c r="P64" s="242" t="s">
        <v>51</v>
      </c>
      <c r="Q64" s="116" t="s">
        <v>51</v>
      </c>
      <c r="R64" s="75" t="s">
        <v>51</v>
      </c>
      <c r="S64" s="75" t="s">
        <v>51</v>
      </c>
      <c r="T64" s="31" t="s">
        <v>54</v>
      </c>
      <c r="U64" s="231" t="s">
        <v>51</v>
      </c>
      <c r="V64" s="242" t="s">
        <v>51</v>
      </c>
      <c r="W64" s="116" t="s">
        <v>51</v>
      </c>
      <c r="X64" s="75" t="s">
        <v>51</v>
      </c>
      <c r="Y64" s="75" t="s">
        <v>51</v>
      </c>
      <c r="Z64" s="217" t="s">
        <v>51</v>
      </c>
      <c r="AA64" s="231" t="s">
        <v>51</v>
      </c>
      <c r="AB64" s="242" t="s">
        <v>51</v>
      </c>
      <c r="AC64" s="30"/>
      <c r="AD64" s="30"/>
      <c r="AE64" s="30"/>
      <c r="AF64" s="30"/>
      <c r="AG64" s="30"/>
      <c r="AH64" s="30"/>
      <c r="AI64" s="30"/>
      <c r="AJ64" s="30"/>
      <c r="AK64" s="30"/>
    </row>
    <row r="65" spans="1:37" ht="20.100000000000001" customHeight="1">
      <c r="A65" s="284"/>
      <c r="B65" s="44" t="s">
        <v>15</v>
      </c>
      <c r="C65" s="42">
        <v>27</v>
      </c>
      <c r="D65" s="81">
        <v>1</v>
      </c>
      <c r="E65" s="70"/>
      <c r="F65" s="70"/>
      <c r="G65" s="164" t="str">
        <f t="shared" si="0"/>
        <v/>
      </c>
      <c r="H65" s="193">
        <v>1</v>
      </c>
      <c r="I65" s="195" t="s">
        <v>53</v>
      </c>
      <c r="J65" s="103">
        <v>0</v>
      </c>
      <c r="K65" s="75" t="s">
        <v>51</v>
      </c>
      <c r="L65" s="75" t="s">
        <v>51</v>
      </c>
      <c r="M65" s="75" t="s">
        <v>51</v>
      </c>
      <c r="N65" s="31" t="s">
        <v>54</v>
      </c>
      <c r="O65" s="231" t="s">
        <v>51</v>
      </c>
      <c r="P65" s="242" t="s">
        <v>51</v>
      </c>
      <c r="Q65" s="116" t="s">
        <v>51</v>
      </c>
      <c r="R65" s="75" t="s">
        <v>51</v>
      </c>
      <c r="S65" s="75" t="s">
        <v>51</v>
      </c>
      <c r="T65" s="31" t="s">
        <v>54</v>
      </c>
      <c r="U65" s="231" t="s">
        <v>51</v>
      </c>
      <c r="V65" s="242" t="s">
        <v>51</v>
      </c>
      <c r="W65" s="116" t="s">
        <v>51</v>
      </c>
      <c r="X65" s="75" t="s">
        <v>51</v>
      </c>
      <c r="Y65" s="75" t="s">
        <v>51</v>
      </c>
      <c r="Z65" s="217" t="s">
        <v>51</v>
      </c>
      <c r="AA65" s="231" t="s">
        <v>51</v>
      </c>
      <c r="AB65" s="242" t="s">
        <v>51</v>
      </c>
      <c r="AC65" s="30"/>
      <c r="AD65" s="30"/>
      <c r="AE65" s="30"/>
      <c r="AF65" s="30"/>
      <c r="AG65" s="30"/>
      <c r="AH65" s="30"/>
      <c r="AI65" s="30"/>
      <c r="AJ65" s="30"/>
      <c r="AK65" s="30"/>
    </row>
    <row r="66" spans="1:37" ht="20.100000000000001" customHeight="1">
      <c r="A66" s="284"/>
      <c r="B66" s="41" t="s">
        <v>27</v>
      </c>
      <c r="C66" s="42">
        <v>27</v>
      </c>
      <c r="D66" s="81">
        <v>3</v>
      </c>
      <c r="E66" s="70">
        <v>2</v>
      </c>
      <c r="F66" s="70">
        <v>2</v>
      </c>
      <c r="G66" s="164">
        <f t="shared" si="0"/>
        <v>1</v>
      </c>
      <c r="H66" s="193">
        <v>3</v>
      </c>
      <c r="I66" s="195" t="s">
        <v>98</v>
      </c>
      <c r="J66" s="103">
        <v>0</v>
      </c>
      <c r="K66" s="75" t="s">
        <v>51</v>
      </c>
      <c r="L66" s="75" t="s">
        <v>51</v>
      </c>
      <c r="M66" s="75" t="s">
        <v>51</v>
      </c>
      <c r="N66" s="31" t="s">
        <v>54</v>
      </c>
      <c r="O66" s="231" t="s">
        <v>51</v>
      </c>
      <c r="P66" s="243" t="s">
        <v>51</v>
      </c>
      <c r="Q66" s="116" t="s">
        <v>51</v>
      </c>
      <c r="R66" s="75" t="s">
        <v>51</v>
      </c>
      <c r="S66" s="75" t="s">
        <v>51</v>
      </c>
      <c r="T66" s="31" t="s">
        <v>54</v>
      </c>
      <c r="U66" s="231" t="s">
        <v>51</v>
      </c>
      <c r="V66" s="242" t="s">
        <v>51</v>
      </c>
      <c r="W66" s="116" t="s">
        <v>51</v>
      </c>
      <c r="X66" s="75" t="s">
        <v>51</v>
      </c>
      <c r="Y66" s="75" t="s">
        <v>51</v>
      </c>
      <c r="Z66" s="217" t="s">
        <v>51</v>
      </c>
      <c r="AA66" s="231" t="s">
        <v>51</v>
      </c>
      <c r="AB66" s="242" t="s">
        <v>51</v>
      </c>
      <c r="AC66" s="30"/>
      <c r="AD66" s="30"/>
      <c r="AE66" s="30"/>
      <c r="AF66" s="30"/>
      <c r="AG66" s="30"/>
      <c r="AH66" s="30"/>
      <c r="AI66" s="30"/>
      <c r="AJ66" s="30"/>
      <c r="AK66" s="30"/>
    </row>
    <row r="67" spans="1:37" s="7" customFormat="1" ht="20.100000000000001" customHeight="1">
      <c r="A67" s="284"/>
      <c r="B67" s="45" t="s">
        <v>93</v>
      </c>
      <c r="C67" s="46">
        <f>SUM(C60:C66)</f>
        <v>175</v>
      </c>
      <c r="D67" s="72">
        <f>SUM(D60:D66)</f>
        <v>32</v>
      </c>
      <c r="E67" s="72">
        <f>SUM(E60:E66)</f>
        <v>12</v>
      </c>
      <c r="F67" s="72">
        <f>SUM(F60:F66)</f>
        <v>10</v>
      </c>
      <c r="G67" s="165">
        <f t="shared" si="0"/>
        <v>0.83333333333333337</v>
      </c>
      <c r="H67" s="198">
        <f>SUM(H60:H66)</f>
        <v>32</v>
      </c>
      <c r="I67" s="199" t="s">
        <v>51</v>
      </c>
      <c r="J67" s="105">
        <f>IFERROR(F67/C67,"")</f>
        <v>5.7142857142857141E-2</v>
      </c>
      <c r="K67" s="72">
        <f>SUM(K60:K66)</f>
        <v>0</v>
      </c>
      <c r="L67" s="72">
        <f>SUM(L60:L66)</f>
        <v>0</v>
      </c>
      <c r="M67" s="72">
        <f>SUM(M60:M66)</f>
        <v>0</v>
      </c>
      <c r="N67" s="165" t="str">
        <f t="shared" si="1"/>
        <v/>
      </c>
      <c r="O67" s="198">
        <f>SUM(O60:O66)</f>
        <v>0</v>
      </c>
      <c r="P67" s="199" t="s">
        <v>51</v>
      </c>
      <c r="Q67" s="117">
        <f>SUM(Q60:Q66)</f>
        <v>9</v>
      </c>
      <c r="R67" s="72">
        <f>SUM(R60:R66)</f>
        <v>1</v>
      </c>
      <c r="S67" s="72">
        <f>SUM(S60:S66)</f>
        <v>1</v>
      </c>
      <c r="T67" s="165">
        <f t="shared" si="2"/>
        <v>1</v>
      </c>
      <c r="U67" s="198">
        <f>SUM(U60:U66)</f>
        <v>0</v>
      </c>
      <c r="V67" s="199" t="s">
        <v>51</v>
      </c>
      <c r="W67" s="117">
        <f>SUM(W60:W66)</f>
        <v>0</v>
      </c>
      <c r="X67" s="72">
        <f>SUM(X60:X66)</f>
        <v>0</v>
      </c>
      <c r="Y67" s="72">
        <f>SUM(Y60:Y66)</f>
        <v>0</v>
      </c>
      <c r="Z67" s="165" t="str">
        <f>IFERROR(Y67/X67,"")</f>
        <v/>
      </c>
      <c r="AA67" s="198">
        <f>SUM(AA60:AA66)</f>
        <v>0</v>
      </c>
      <c r="AB67" s="199" t="s">
        <v>51</v>
      </c>
    </row>
    <row r="68" spans="1:37" ht="20.100000000000001" customHeight="1">
      <c r="A68" s="283" t="s">
        <v>101</v>
      </c>
      <c r="B68" s="8" t="s">
        <v>24</v>
      </c>
      <c r="C68" s="31">
        <v>69</v>
      </c>
      <c r="D68" s="32">
        <v>21</v>
      </c>
      <c r="E68" s="54">
        <v>14</v>
      </c>
      <c r="F68" s="54">
        <v>14</v>
      </c>
      <c r="G68" s="166">
        <f t="shared" si="0"/>
        <v>1</v>
      </c>
      <c r="H68" s="173">
        <v>21</v>
      </c>
      <c r="I68" s="183" t="s">
        <v>78</v>
      </c>
      <c r="J68" s="145">
        <f>IFERROR(F68/C68,"")</f>
        <v>0.20289855072463769</v>
      </c>
      <c r="K68" s="146">
        <v>21</v>
      </c>
      <c r="L68" s="147">
        <v>5</v>
      </c>
      <c r="M68" s="147">
        <v>5</v>
      </c>
      <c r="N68" s="218">
        <f t="shared" si="1"/>
        <v>1</v>
      </c>
      <c r="O68" s="226">
        <v>21</v>
      </c>
      <c r="P68" s="232" t="s">
        <v>189</v>
      </c>
      <c r="Q68" s="110" t="s">
        <v>51</v>
      </c>
      <c r="R68" s="34" t="s">
        <v>51</v>
      </c>
      <c r="S68" s="34" t="s">
        <v>51</v>
      </c>
      <c r="T68" s="31" t="s">
        <v>54</v>
      </c>
      <c r="U68" s="180" t="s">
        <v>51</v>
      </c>
      <c r="V68" s="257" t="s">
        <v>51</v>
      </c>
      <c r="W68" s="110" t="s">
        <v>51</v>
      </c>
      <c r="X68" s="34" t="s">
        <v>51</v>
      </c>
      <c r="Y68" s="34" t="s">
        <v>51</v>
      </c>
      <c r="Z68" s="160" t="s">
        <v>51</v>
      </c>
      <c r="AA68" s="180" t="s">
        <v>51</v>
      </c>
      <c r="AB68" s="257" t="s">
        <v>51</v>
      </c>
      <c r="AC68" s="30"/>
      <c r="AD68" s="30"/>
      <c r="AE68" s="30"/>
      <c r="AF68" s="30"/>
      <c r="AG68" s="30"/>
      <c r="AH68" s="30"/>
      <c r="AI68" s="30"/>
      <c r="AJ68" s="30"/>
      <c r="AK68" s="30"/>
    </row>
    <row r="69" spans="1:37" ht="20.100000000000001" customHeight="1">
      <c r="A69" s="283"/>
      <c r="B69" s="8" t="s">
        <v>2</v>
      </c>
      <c r="C69" s="31">
        <v>51</v>
      </c>
      <c r="D69" s="32">
        <v>15</v>
      </c>
      <c r="E69" s="54">
        <v>14</v>
      </c>
      <c r="F69" s="54">
        <v>13</v>
      </c>
      <c r="G69" s="157">
        <f t="shared" si="0"/>
        <v>0.9285714285714286</v>
      </c>
      <c r="H69" s="173">
        <v>17</v>
      </c>
      <c r="I69" s="179" t="s">
        <v>86</v>
      </c>
      <c r="J69" s="97">
        <f>IFERROR(F69/C69,"")</f>
        <v>0.25490196078431371</v>
      </c>
      <c r="K69" s="33">
        <v>8</v>
      </c>
      <c r="L69" s="55">
        <v>3</v>
      </c>
      <c r="M69" s="55">
        <v>3</v>
      </c>
      <c r="N69" s="213">
        <f t="shared" si="1"/>
        <v>1</v>
      </c>
      <c r="O69" s="226">
        <v>17</v>
      </c>
      <c r="P69" s="237" t="s">
        <v>86</v>
      </c>
      <c r="Q69" s="110" t="s">
        <v>51</v>
      </c>
      <c r="R69" s="34" t="s">
        <v>51</v>
      </c>
      <c r="S69" s="34" t="s">
        <v>51</v>
      </c>
      <c r="T69" s="31" t="s">
        <v>54</v>
      </c>
      <c r="U69" s="180" t="s">
        <v>51</v>
      </c>
      <c r="V69" s="257" t="s">
        <v>51</v>
      </c>
      <c r="W69" s="110" t="s">
        <v>51</v>
      </c>
      <c r="X69" s="34" t="s">
        <v>51</v>
      </c>
      <c r="Y69" s="34" t="s">
        <v>51</v>
      </c>
      <c r="Z69" s="160" t="s">
        <v>51</v>
      </c>
      <c r="AA69" s="180" t="s">
        <v>51</v>
      </c>
      <c r="AB69" s="257" t="s">
        <v>51</v>
      </c>
      <c r="AC69" s="30"/>
      <c r="AD69" s="30"/>
      <c r="AE69" s="30"/>
      <c r="AF69" s="30"/>
      <c r="AG69" s="30"/>
      <c r="AH69" s="30"/>
      <c r="AI69" s="30"/>
      <c r="AJ69" s="30"/>
      <c r="AK69" s="30"/>
    </row>
    <row r="70" spans="1:37" ht="20.100000000000001" customHeight="1">
      <c r="A70" s="283"/>
      <c r="B70" s="92" t="s">
        <v>102</v>
      </c>
      <c r="C70" s="31" t="s">
        <v>54</v>
      </c>
      <c r="D70" s="31" t="s">
        <v>54</v>
      </c>
      <c r="E70" s="31" t="s">
        <v>54</v>
      </c>
      <c r="F70" s="31" t="s">
        <v>54</v>
      </c>
      <c r="G70" s="31" t="s">
        <v>54</v>
      </c>
      <c r="H70" s="177" t="s">
        <v>54</v>
      </c>
      <c r="I70" s="178" t="s">
        <v>51</v>
      </c>
      <c r="J70" s="98" t="s">
        <v>54</v>
      </c>
      <c r="K70" s="31" t="s">
        <v>54</v>
      </c>
      <c r="L70" s="31" t="s">
        <v>54</v>
      </c>
      <c r="M70" s="31" t="s">
        <v>54</v>
      </c>
      <c r="N70" s="31" t="s">
        <v>54</v>
      </c>
      <c r="O70" s="177" t="s">
        <v>54</v>
      </c>
      <c r="P70" s="178" t="s">
        <v>51</v>
      </c>
      <c r="Q70" s="111">
        <v>4</v>
      </c>
      <c r="R70" s="85">
        <v>1</v>
      </c>
      <c r="S70" s="85">
        <v>1</v>
      </c>
      <c r="T70" s="248">
        <f t="shared" si="2"/>
        <v>1</v>
      </c>
      <c r="U70" s="256">
        <v>10</v>
      </c>
      <c r="V70" s="259" t="s">
        <v>86</v>
      </c>
      <c r="W70" s="110" t="s">
        <v>51</v>
      </c>
      <c r="X70" s="34" t="s">
        <v>51</v>
      </c>
      <c r="Y70" s="34" t="s">
        <v>51</v>
      </c>
      <c r="Z70" s="160" t="s">
        <v>51</v>
      </c>
      <c r="AA70" s="180" t="s">
        <v>51</v>
      </c>
      <c r="AB70" s="257" t="s">
        <v>51</v>
      </c>
      <c r="AC70" s="30"/>
      <c r="AD70" s="30"/>
      <c r="AE70" s="30"/>
      <c r="AF70" s="30"/>
      <c r="AG70" s="30"/>
      <c r="AH70" s="30"/>
      <c r="AI70" s="30"/>
      <c r="AJ70" s="30"/>
      <c r="AK70" s="30"/>
    </row>
    <row r="71" spans="1:37" ht="20.100000000000001" customHeight="1">
      <c r="A71" s="283"/>
      <c r="B71" s="14" t="s">
        <v>131</v>
      </c>
      <c r="C71" s="31">
        <v>53</v>
      </c>
      <c r="D71" s="32">
        <v>32</v>
      </c>
      <c r="E71" s="54">
        <v>50</v>
      </c>
      <c r="F71" s="54">
        <v>32</v>
      </c>
      <c r="G71" s="157">
        <f t="shared" si="0"/>
        <v>0.64</v>
      </c>
      <c r="H71" s="173">
        <v>22</v>
      </c>
      <c r="I71" s="179" t="s">
        <v>53</v>
      </c>
      <c r="J71" s="97">
        <f>IFERROR(F71/C71,"")</f>
        <v>0.60377358490566035</v>
      </c>
      <c r="K71" s="33">
        <v>14</v>
      </c>
      <c r="L71" s="55">
        <v>28</v>
      </c>
      <c r="M71" s="55">
        <v>14</v>
      </c>
      <c r="N71" s="213">
        <f t="shared" si="1"/>
        <v>0.5</v>
      </c>
      <c r="O71" s="226">
        <v>16</v>
      </c>
      <c r="P71" s="237" t="s">
        <v>62</v>
      </c>
      <c r="Q71" s="110" t="s">
        <v>51</v>
      </c>
      <c r="R71" s="34" t="s">
        <v>51</v>
      </c>
      <c r="S71" s="34" t="s">
        <v>51</v>
      </c>
      <c r="T71" s="31" t="s">
        <v>54</v>
      </c>
      <c r="U71" s="180" t="s">
        <v>51</v>
      </c>
      <c r="V71" s="257" t="s">
        <v>51</v>
      </c>
      <c r="W71" s="110" t="s">
        <v>51</v>
      </c>
      <c r="X71" s="34" t="s">
        <v>51</v>
      </c>
      <c r="Y71" s="34" t="s">
        <v>51</v>
      </c>
      <c r="Z71" s="160" t="s">
        <v>51</v>
      </c>
      <c r="AA71" s="180" t="s">
        <v>51</v>
      </c>
      <c r="AB71" s="257" t="s">
        <v>51</v>
      </c>
      <c r="AC71" s="30"/>
      <c r="AD71" s="30"/>
      <c r="AE71" s="30"/>
      <c r="AF71" s="30"/>
      <c r="AG71" s="30"/>
      <c r="AH71" s="30"/>
      <c r="AI71" s="30"/>
      <c r="AJ71" s="30"/>
      <c r="AK71" s="30"/>
    </row>
    <row r="72" spans="1:37" ht="20.100000000000001" customHeight="1">
      <c r="A72" s="283"/>
      <c r="B72" s="94" t="s">
        <v>132</v>
      </c>
      <c r="C72" s="31" t="s">
        <v>54</v>
      </c>
      <c r="D72" s="31" t="s">
        <v>54</v>
      </c>
      <c r="E72" s="31" t="s">
        <v>54</v>
      </c>
      <c r="F72" s="31" t="s">
        <v>54</v>
      </c>
      <c r="G72" s="31" t="s">
        <v>54</v>
      </c>
      <c r="H72" s="200"/>
      <c r="I72" s="178" t="s">
        <v>51</v>
      </c>
      <c r="J72" s="98" t="s">
        <v>54</v>
      </c>
      <c r="K72" s="31" t="s">
        <v>54</v>
      </c>
      <c r="L72" s="31" t="s">
        <v>54</v>
      </c>
      <c r="M72" s="31" t="s">
        <v>54</v>
      </c>
      <c r="N72" s="31" t="s">
        <v>54</v>
      </c>
      <c r="O72" s="177" t="s">
        <v>54</v>
      </c>
      <c r="P72" s="178" t="s">
        <v>51</v>
      </c>
      <c r="Q72" s="111">
        <v>1</v>
      </c>
      <c r="R72" s="85">
        <v>0</v>
      </c>
      <c r="S72" s="85">
        <v>0</v>
      </c>
      <c r="T72" s="250" t="str">
        <f t="shared" ref="T72:T123" si="4">IFERROR(S72/R72,"")</f>
        <v/>
      </c>
      <c r="U72" s="256">
        <v>1</v>
      </c>
      <c r="V72" s="259" t="s">
        <v>53</v>
      </c>
      <c r="W72" s="110" t="s">
        <v>51</v>
      </c>
      <c r="X72" s="34" t="s">
        <v>51</v>
      </c>
      <c r="Y72" s="34" t="s">
        <v>51</v>
      </c>
      <c r="Z72" s="160" t="s">
        <v>51</v>
      </c>
      <c r="AA72" s="180" t="s">
        <v>51</v>
      </c>
      <c r="AB72" s="257" t="s">
        <v>51</v>
      </c>
      <c r="AC72" s="30"/>
      <c r="AD72" s="30"/>
      <c r="AE72" s="30"/>
      <c r="AF72" s="30"/>
      <c r="AG72" s="30"/>
      <c r="AH72" s="30"/>
      <c r="AI72" s="30"/>
      <c r="AJ72" s="30"/>
      <c r="AK72" s="30"/>
    </row>
    <row r="73" spans="1:37" ht="20.100000000000001" customHeight="1">
      <c r="A73" s="283"/>
      <c r="B73" s="13" t="s">
        <v>29</v>
      </c>
      <c r="C73" s="31">
        <v>69</v>
      </c>
      <c r="D73" s="32">
        <v>16</v>
      </c>
      <c r="E73" s="54">
        <v>19</v>
      </c>
      <c r="F73" s="54">
        <v>16</v>
      </c>
      <c r="G73" s="157">
        <f t="shared" ref="G72:G123" si="5">IFERROR(F73/E73,"")</f>
        <v>0.84210526315789469</v>
      </c>
      <c r="H73" s="173">
        <v>18</v>
      </c>
      <c r="I73" s="179" t="s">
        <v>98</v>
      </c>
      <c r="J73" s="97">
        <f>IFERROR(F73/C73,"")</f>
        <v>0.2318840579710145</v>
      </c>
      <c r="K73" s="33">
        <v>6</v>
      </c>
      <c r="L73" s="55">
        <v>7</v>
      </c>
      <c r="M73" s="55">
        <v>6</v>
      </c>
      <c r="N73" s="213">
        <f t="shared" ref="N72:N123" si="6">IFERROR(M73/L73,"")</f>
        <v>0.8571428571428571</v>
      </c>
      <c r="O73" s="226">
        <v>4</v>
      </c>
      <c r="P73" s="237" t="s">
        <v>98</v>
      </c>
      <c r="Q73" s="110" t="s">
        <v>51</v>
      </c>
      <c r="R73" s="34" t="s">
        <v>51</v>
      </c>
      <c r="S73" s="34" t="s">
        <v>51</v>
      </c>
      <c r="T73" s="31" t="s">
        <v>54</v>
      </c>
      <c r="U73" s="180" t="s">
        <v>51</v>
      </c>
      <c r="V73" s="257" t="s">
        <v>51</v>
      </c>
      <c r="W73" s="110" t="s">
        <v>51</v>
      </c>
      <c r="X73" s="34" t="s">
        <v>51</v>
      </c>
      <c r="Y73" s="34" t="s">
        <v>51</v>
      </c>
      <c r="Z73" s="160" t="s">
        <v>51</v>
      </c>
      <c r="AA73" s="180" t="s">
        <v>51</v>
      </c>
      <c r="AB73" s="257" t="s">
        <v>51</v>
      </c>
      <c r="AC73" s="30"/>
      <c r="AD73" s="30"/>
      <c r="AE73" s="30"/>
      <c r="AF73" s="30"/>
      <c r="AG73" s="30"/>
      <c r="AH73" s="30"/>
      <c r="AI73" s="30"/>
      <c r="AJ73" s="30"/>
      <c r="AK73" s="30"/>
    </row>
    <row r="74" spans="1:37" ht="20.100000000000001" customHeight="1">
      <c r="A74" s="283"/>
      <c r="B74" s="8" t="s">
        <v>8</v>
      </c>
      <c r="C74" s="31">
        <v>26</v>
      </c>
      <c r="D74" s="32">
        <v>50</v>
      </c>
      <c r="E74" s="54">
        <v>39</v>
      </c>
      <c r="F74" s="54">
        <v>36</v>
      </c>
      <c r="G74" s="157">
        <f t="shared" si="5"/>
        <v>0.92307692307692313</v>
      </c>
      <c r="H74" s="173">
        <v>50</v>
      </c>
      <c r="I74" s="179" t="s">
        <v>62</v>
      </c>
      <c r="J74" s="97">
        <f>IFERROR(F74/C74,"")</f>
        <v>1.3846153846153846</v>
      </c>
      <c r="K74" s="33">
        <v>30</v>
      </c>
      <c r="L74" s="55">
        <v>8</v>
      </c>
      <c r="M74" s="55">
        <v>8</v>
      </c>
      <c r="N74" s="213">
        <f t="shared" si="6"/>
        <v>1</v>
      </c>
      <c r="O74" s="226">
        <v>30</v>
      </c>
      <c r="P74" s="237" t="s">
        <v>62</v>
      </c>
      <c r="Q74" s="110" t="s">
        <v>51</v>
      </c>
      <c r="R74" s="34" t="s">
        <v>51</v>
      </c>
      <c r="S74" s="34" t="s">
        <v>51</v>
      </c>
      <c r="T74" s="31" t="s">
        <v>54</v>
      </c>
      <c r="U74" s="180" t="s">
        <v>51</v>
      </c>
      <c r="V74" s="257" t="s">
        <v>51</v>
      </c>
      <c r="W74" s="110" t="s">
        <v>51</v>
      </c>
      <c r="X74" s="34" t="s">
        <v>51</v>
      </c>
      <c r="Y74" s="34" t="s">
        <v>51</v>
      </c>
      <c r="Z74" s="160" t="s">
        <v>51</v>
      </c>
      <c r="AA74" s="180" t="s">
        <v>51</v>
      </c>
      <c r="AB74" s="257" t="s">
        <v>51</v>
      </c>
      <c r="AC74" s="30"/>
      <c r="AD74" s="30"/>
      <c r="AE74" s="30"/>
      <c r="AF74" s="30"/>
      <c r="AG74" s="30"/>
      <c r="AH74" s="30"/>
      <c r="AI74" s="30"/>
      <c r="AJ74" s="30"/>
      <c r="AK74" s="30"/>
    </row>
    <row r="75" spans="1:37" ht="20.100000000000001" customHeight="1">
      <c r="A75" s="283"/>
      <c r="B75" s="92" t="s">
        <v>103</v>
      </c>
      <c r="C75" s="31" t="s">
        <v>54</v>
      </c>
      <c r="D75" s="31" t="s">
        <v>54</v>
      </c>
      <c r="E75" s="31" t="s">
        <v>54</v>
      </c>
      <c r="F75" s="31" t="s">
        <v>54</v>
      </c>
      <c r="G75" s="31" t="s">
        <v>54</v>
      </c>
      <c r="H75" s="177" t="s">
        <v>54</v>
      </c>
      <c r="I75" s="178" t="s">
        <v>51</v>
      </c>
      <c r="J75" s="98" t="s">
        <v>54</v>
      </c>
      <c r="K75" s="31" t="s">
        <v>54</v>
      </c>
      <c r="L75" s="31" t="s">
        <v>54</v>
      </c>
      <c r="M75" s="31" t="s">
        <v>54</v>
      </c>
      <c r="N75" s="31" t="s">
        <v>54</v>
      </c>
      <c r="O75" s="177" t="s">
        <v>54</v>
      </c>
      <c r="P75" s="178" t="s">
        <v>51</v>
      </c>
      <c r="Q75" s="111">
        <v>5</v>
      </c>
      <c r="R75" s="85"/>
      <c r="S75" s="85"/>
      <c r="T75" s="250" t="str">
        <f t="shared" si="4"/>
        <v/>
      </c>
      <c r="U75" s="256">
        <v>5</v>
      </c>
      <c r="V75" s="259" t="s">
        <v>62</v>
      </c>
      <c r="W75" s="110" t="s">
        <v>51</v>
      </c>
      <c r="X75" s="34" t="s">
        <v>51</v>
      </c>
      <c r="Y75" s="34" t="s">
        <v>51</v>
      </c>
      <c r="Z75" s="160" t="s">
        <v>51</v>
      </c>
      <c r="AA75" s="180" t="s">
        <v>51</v>
      </c>
      <c r="AB75" s="257" t="s">
        <v>51</v>
      </c>
      <c r="AC75" s="30"/>
      <c r="AD75" s="30"/>
      <c r="AE75" s="30"/>
      <c r="AF75" s="30"/>
      <c r="AG75" s="30"/>
      <c r="AH75" s="30"/>
      <c r="AI75" s="30"/>
      <c r="AJ75" s="30"/>
      <c r="AK75" s="30"/>
    </row>
    <row r="76" spans="1:37" ht="20.100000000000001" customHeight="1">
      <c r="A76" s="283"/>
      <c r="B76" s="92" t="s">
        <v>104</v>
      </c>
      <c r="C76" s="31" t="s">
        <v>54</v>
      </c>
      <c r="D76" s="31" t="s">
        <v>54</v>
      </c>
      <c r="E76" s="31" t="s">
        <v>54</v>
      </c>
      <c r="F76" s="31" t="s">
        <v>54</v>
      </c>
      <c r="G76" s="31" t="s">
        <v>54</v>
      </c>
      <c r="H76" s="177" t="s">
        <v>54</v>
      </c>
      <c r="I76" s="178" t="s">
        <v>51</v>
      </c>
      <c r="J76" s="98" t="s">
        <v>54</v>
      </c>
      <c r="K76" s="31" t="s">
        <v>54</v>
      </c>
      <c r="L76" s="31" t="s">
        <v>54</v>
      </c>
      <c r="M76" s="31" t="s">
        <v>54</v>
      </c>
      <c r="N76" s="31" t="s">
        <v>54</v>
      </c>
      <c r="O76" s="177" t="s">
        <v>54</v>
      </c>
      <c r="P76" s="178" t="s">
        <v>51</v>
      </c>
      <c r="Q76" s="111">
        <v>10</v>
      </c>
      <c r="R76" s="85">
        <v>8</v>
      </c>
      <c r="S76" s="85">
        <v>6</v>
      </c>
      <c r="T76" s="250">
        <f t="shared" si="4"/>
        <v>0.75</v>
      </c>
      <c r="U76" s="256">
        <v>10</v>
      </c>
      <c r="V76" s="259" t="s">
        <v>62</v>
      </c>
      <c r="W76" s="110" t="s">
        <v>51</v>
      </c>
      <c r="X76" s="34" t="s">
        <v>51</v>
      </c>
      <c r="Y76" s="34" t="s">
        <v>51</v>
      </c>
      <c r="Z76" s="160" t="s">
        <v>51</v>
      </c>
      <c r="AA76" s="180" t="s">
        <v>51</v>
      </c>
      <c r="AB76" s="257" t="s">
        <v>51</v>
      </c>
      <c r="AC76" s="30"/>
      <c r="AD76" s="30"/>
      <c r="AE76" s="30"/>
      <c r="AF76" s="30"/>
      <c r="AG76" s="30"/>
      <c r="AH76" s="30"/>
      <c r="AI76" s="30"/>
      <c r="AJ76" s="30"/>
      <c r="AK76" s="30"/>
    </row>
    <row r="77" spans="1:37" ht="20.100000000000001" customHeight="1">
      <c r="A77" s="283"/>
      <c r="B77" s="92" t="s">
        <v>105</v>
      </c>
      <c r="C77" s="31" t="s">
        <v>54</v>
      </c>
      <c r="D77" s="31" t="s">
        <v>54</v>
      </c>
      <c r="E77" s="31" t="s">
        <v>54</v>
      </c>
      <c r="F77" s="31" t="s">
        <v>54</v>
      </c>
      <c r="G77" s="31" t="s">
        <v>54</v>
      </c>
      <c r="H77" s="177" t="s">
        <v>54</v>
      </c>
      <c r="I77" s="178" t="s">
        <v>51</v>
      </c>
      <c r="J77" s="98" t="s">
        <v>54</v>
      </c>
      <c r="K77" s="31" t="s">
        <v>54</v>
      </c>
      <c r="L77" s="31" t="s">
        <v>54</v>
      </c>
      <c r="M77" s="31" t="s">
        <v>54</v>
      </c>
      <c r="N77" s="31" t="s">
        <v>54</v>
      </c>
      <c r="O77" s="177" t="s">
        <v>54</v>
      </c>
      <c r="P77" s="178" t="s">
        <v>51</v>
      </c>
      <c r="Q77" s="111">
        <v>10</v>
      </c>
      <c r="R77" s="85"/>
      <c r="S77" s="85"/>
      <c r="T77" s="250" t="str">
        <f t="shared" si="4"/>
        <v/>
      </c>
      <c r="U77" s="256">
        <v>10</v>
      </c>
      <c r="V77" s="259" t="s">
        <v>62</v>
      </c>
      <c r="W77" s="110" t="s">
        <v>51</v>
      </c>
      <c r="X77" s="34" t="s">
        <v>51</v>
      </c>
      <c r="Y77" s="34" t="s">
        <v>51</v>
      </c>
      <c r="Z77" s="160" t="s">
        <v>51</v>
      </c>
      <c r="AA77" s="180" t="s">
        <v>51</v>
      </c>
      <c r="AB77" s="257" t="s">
        <v>51</v>
      </c>
      <c r="AC77" s="30"/>
      <c r="AD77" s="30"/>
      <c r="AE77" s="30"/>
      <c r="AF77" s="30"/>
      <c r="AG77" s="30"/>
      <c r="AH77" s="30"/>
      <c r="AI77" s="30"/>
      <c r="AJ77" s="30"/>
      <c r="AK77" s="30"/>
    </row>
    <row r="78" spans="1:37" ht="20.100000000000001" customHeight="1">
      <c r="A78" s="283"/>
      <c r="B78" s="8" t="s">
        <v>133</v>
      </c>
      <c r="C78" s="31">
        <v>28</v>
      </c>
      <c r="D78" s="32">
        <v>15</v>
      </c>
      <c r="E78" s="54">
        <v>10</v>
      </c>
      <c r="F78" s="54">
        <v>10</v>
      </c>
      <c r="G78" s="157">
        <f t="shared" si="5"/>
        <v>1</v>
      </c>
      <c r="H78" s="173">
        <v>15</v>
      </c>
      <c r="I78" s="183" t="s">
        <v>173</v>
      </c>
      <c r="J78" s="97">
        <f>IFERROR(F78/C78,"")</f>
        <v>0.35714285714285715</v>
      </c>
      <c r="K78" s="33">
        <v>10</v>
      </c>
      <c r="L78" s="55">
        <v>2</v>
      </c>
      <c r="M78" s="55">
        <v>2</v>
      </c>
      <c r="N78" s="213">
        <f t="shared" si="6"/>
        <v>1</v>
      </c>
      <c r="O78" s="226">
        <v>10</v>
      </c>
      <c r="P78" s="232" t="s">
        <v>173</v>
      </c>
      <c r="Q78" s="110" t="s">
        <v>51</v>
      </c>
      <c r="R78" s="34" t="s">
        <v>51</v>
      </c>
      <c r="S78" s="34" t="s">
        <v>51</v>
      </c>
      <c r="T78" s="31" t="s">
        <v>54</v>
      </c>
      <c r="U78" s="180" t="s">
        <v>51</v>
      </c>
      <c r="V78" s="257" t="s">
        <v>51</v>
      </c>
      <c r="W78" s="110" t="s">
        <v>51</v>
      </c>
      <c r="X78" s="34" t="s">
        <v>51</v>
      </c>
      <c r="Y78" s="34" t="s">
        <v>51</v>
      </c>
      <c r="Z78" s="160" t="s">
        <v>51</v>
      </c>
      <c r="AA78" s="180" t="s">
        <v>51</v>
      </c>
      <c r="AB78" s="257" t="s">
        <v>51</v>
      </c>
      <c r="AC78" s="30"/>
      <c r="AD78" s="30"/>
      <c r="AE78" s="30"/>
      <c r="AF78" s="30"/>
      <c r="AG78" s="30"/>
      <c r="AH78" s="30"/>
      <c r="AI78" s="30"/>
      <c r="AJ78" s="30"/>
      <c r="AK78" s="30"/>
    </row>
    <row r="79" spans="1:37" ht="20.100000000000001" customHeight="1">
      <c r="A79" s="286"/>
      <c r="B79" s="13" t="s">
        <v>134</v>
      </c>
      <c r="C79" s="31">
        <v>28</v>
      </c>
      <c r="D79" s="32">
        <v>9</v>
      </c>
      <c r="E79" s="54">
        <v>7</v>
      </c>
      <c r="F79" s="54">
        <v>7</v>
      </c>
      <c r="G79" s="157">
        <f t="shared" si="5"/>
        <v>1</v>
      </c>
      <c r="H79" s="173">
        <v>9</v>
      </c>
      <c r="I79" s="179" t="s">
        <v>62</v>
      </c>
      <c r="J79" s="97">
        <f>IFERROR(F79/C79,"")</f>
        <v>0.25</v>
      </c>
      <c r="K79" s="33">
        <v>5</v>
      </c>
      <c r="L79" s="55">
        <v>3</v>
      </c>
      <c r="M79" s="55">
        <v>3</v>
      </c>
      <c r="N79" s="213">
        <f t="shared" si="6"/>
        <v>1</v>
      </c>
      <c r="O79" s="226">
        <v>5</v>
      </c>
      <c r="P79" s="237" t="s">
        <v>106</v>
      </c>
      <c r="Q79" s="110" t="s">
        <v>51</v>
      </c>
      <c r="R79" s="34" t="s">
        <v>51</v>
      </c>
      <c r="S79" s="34" t="s">
        <v>51</v>
      </c>
      <c r="T79" s="31" t="s">
        <v>54</v>
      </c>
      <c r="U79" s="180" t="s">
        <v>51</v>
      </c>
      <c r="V79" s="257" t="s">
        <v>51</v>
      </c>
      <c r="W79" s="110" t="s">
        <v>51</v>
      </c>
      <c r="X79" s="34" t="s">
        <v>51</v>
      </c>
      <c r="Y79" s="34" t="s">
        <v>51</v>
      </c>
      <c r="Z79" s="160" t="s">
        <v>51</v>
      </c>
      <c r="AA79" s="180" t="s">
        <v>51</v>
      </c>
      <c r="AB79" s="257" t="s">
        <v>51</v>
      </c>
      <c r="AC79" s="30"/>
      <c r="AD79" s="30"/>
      <c r="AE79" s="30"/>
      <c r="AF79" s="30"/>
      <c r="AG79" s="30"/>
      <c r="AH79" s="30"/>
      <c r="AI79" s="30"/>
      <c r="AJ79" s="30"/>
      <c r="AK79" s="30"/>
    </row>
    <row r="80" spans="1:37" ht="20.100000000000001" customHeight="1">
      <c r="A80" s="286"/>
      <c r="B80" s="66" t="s">
        <v>174</v>
      </c>
      <c r="C80" s="47" t="s">
        <v>54</v>
      </c>
      <c r="D80" s="48" t="s">
        <v>54</v>
      </c>
      <c r="E80" s="48" t="s">
        <v>54</v>
      </c>
      <c r="F80" s="48" t="s">
        <v>54</v>
      </c>
      <c r="G80" s="31" t="s">
        <v>54</v>
      </c>
      <c r="H80" s="201" t="s">
        <v>54</v>
      </c>
      <c r="I80" s="202" t="s">
        <v>51</v>
      </c>
      <c r="J80" s="106" t="s">
        <v>54</v>
      </c>
      <c r="K80" s="49" t="s">
        <v>54</v>
      </c>
      <c r="L80" s="76" t="s">
        <v>54</v>
      </c>
      <c r="M80" s="76" t="s">
        <v>54</v>
      </c>
      <c r="N80" s="213" t="str">
        <f t="shared" si="6"/>
        <v/>
      </c>
      <c r="O80" s="233"/>
      <c r="P80" s="244"/>
      <c r="Q80" s="106" t="s">
        <v>51</v>
      </c>
      <c r="R80" s="48" t="s">
        <v>51</v>
      </c>
      <c r="S80" s="48" t="s">
        <v>51</v>
      </c>
      <c r="T80" s="31" t="s">
        <v>54</v>
      </c>
      <c r="U80" s="201" t="s">
        <v>51</v>
      </c>
      <c r="V80" s="202" t="s">
        <v>51</v>
      </c>
      <c r="W80" s="123">
        <v>100</v>
      </c>
      <c r="X80" s="151">
        <v>33</v>
      </c>
      <c r="Y80" s="151">
        <v>33</v>
      </c>
      <c r="Z80" s="272">
        <f>IFERROR(X80/Y80,"")</f>
        <v>1</v>
      </c>
      <c r="AA80" s="276">
        <v>100</v>
      </c>
      <c r="AB80" s="279" t="s">
        <v>106</v>
      </c>
      <c r="AC80" s="30"/>
      <c r="AD80" s="30"/>
      <c r="AE80" s="30"/>
      <c r="AF80" s="30"/>
      <c r="AG80" s="30"/>
      <c r="AH80" s="30"/>
      <c r="AI80" s="30"/>
      <c r="AJ80" s="30"/>
      <c r="AK80" s="30"/>
    </row>
    <row r="81" spans="1:37" s="7" customFormat="1" ht="20.100000000000001" customHeight="1">
      <c r="A81" s="283"/>
      <c r="B81" s="10" t="s">
        <v>79</v>
      </c>
      <c r="C81" s="38">
        <f>SUM(C68:C80)</f>
        <v>324</v>
      </c>
      <c r="D81" s="38">
        <f>SUM(D68:D80)</f>
        <v>158</v>
      </c>
      <c r="E81" s="38">
        <f>SUM(E68:E80)</f>
        <v>153</v>
      </c>
      <c r="F81" s="38">
        <f>SUM(F68:F80)</f>
        <v>128</v>
      </c>
      <c r="G81" s="161">
        <f t="shared" si="5"/>
        <v>0.83660130718954251</v>
      </c>
      <c r="H81" s="184">
        <f>SUM(H68:H80)</f>
        <v>152</v>
      </c>
      <c r="I81" s="185" t="s">
        <v>54</v>
      </c>
      <c r="J81" s="99">
        <f>IFERROR(F81/C81,"")</f>
        <v>0.39506172839506171</v>
      </c>
      <c r="K81" s="38">
        <f>SUM(K68:K80)</f>
        <v>94</v>
      </c>
      <c r="L81" s="38">
        <f>SUM(L68:L80)</f>
        <v>56</v>
      </c>
      <c r="M81" s="38">
        <f>SUM(M68:M80)</f>
        <v>41</v>
      </c>
      <c r="N81" s="161">
        <f t="shared" si="6"/>
        <v>0.7321428571428571</v>
      </c>
      <c r="O81" s="184">
        <f>SUM(O68:O80)</f>
        <v>103</v>
      </c>
      <c r="P81" s="185" t="s">
        <v>54</v>
      </c>
      <c r="Q81" s="112">
        <f>SUM(Q68:Q80)</f>
        <v>30</v>
      </c>
      <c r="R81" s="38">
        <f>SUM(R68:R80)</f>
        <v>9</v>
      </c>
      <c r="S81" s="38">
        <f>SUM(S68:S80)</f>
        <v>7</v>
      </c>
      <c r="T81" s="161">
        <f t="shared" si="4"/>
        <v>0.77777777777777779</v>
      </c>
      <c r="U81" s="184">
        <f>SUM(U68:U80)</f>
        <v>36</v>
      </c>
      <c r="V81" s="185" t="s">
        <v>54</v>
      </c>
      <c r="W81" s="112">
        <f>SUM(W68:W80)</f>
        <v>100</v>
      </c>
      <c r="X81" s="38">
        <f>SUM(X68:X80)</f>
        <v>33</v>
      </c>
      <c r="Y81" s="38">
        <f>SUM(Y68:Y80)</f>
        <v>33</v>
      </c>
      <c r="Z81" s="161">
        <f>IFERROR(Y81/X81,"")</f>
        <v>1</v>
      </c>
      <c r="AA81" s="184">
        <f>SUM(AA68:AA80)</f>
        <v>100</v>
      </c>
      <c r="AB81" s="185" t="s">
        <v>54</v>
      </c>
    </row>
    <row r="82" spans="1:37" ht="20.100000000000001" customHeight="1">
      <c r="A82" s="283" t="s">
        <v>12</v>
      </c>
      <c r="B82" s="8" t="s">
        <v>175</v>
      </c>
      <c r="C82" s="50">
        <v>42</v>
      </c>
      <c r="D82" s="51">
        <v>42</v>
      </c>
      <c r="E82" s="73">
        <v>8</v>
      </c>
      <c r="F82" s="73">
        <v>8</v>
      </c>
      <c r="G82" s="157">
        <f t="shared" si="5"/>
        <v>1</v>
      </c>
      <c r="H82" s="203">
        <v>42</v>
      </c>
      <c r="I82" s="204" t="s">
        <v>188</v>
      </c>
      <c r="J82" s="97">
        <v>0.19</v>
      </c>
      <c r="K82" s="52">
        <v>42</v>
      </c>
      <c r="L82" s="77">
        <v>1</v>
      </c>
      <c r="M82" s="77">
        <v>1</v>
      </c>
      <c r="N82" s="213">
        <f t="shared" si="6"/>
        <v>1</v>
      </c>
      <c r="O82" s="234">
        <v>42</v>
      </c>
      <c r="P82" s="237" t="s">
        <v>62</v>
      </c>
      <c r="Q82" s="118" t="s">
        <v>51</v>
      </c>
      <c r="R82" s="53" t="s">
        <v>51</v>
      </c>
      <c r="S82" s="53" t="s">
        <v>51</v>
      </c>
      <c r="T82" s="31" t="s">
        <v>54</v>
      </c>
      <c r="U82" s="266" t="s">
        <v>51</v>
      </c>
      <c r="V82" s="257" t="s">
        <v>51</v>
      </c>
      <c r="W82" s="118" t="s">
        <v>51</v>
      </c>
      <c r="X82" s="53" t="s">
        <v>51</v>
      </c>
      <c r="Y82" s="53" t="s">
        <v>51</v>
      </c>
      <c r="Z82" s="160" t="s">
        <v>51</v>
      </c>
      <c r="AA82" s="266" t="s">
        <v>51</v>
      </c>
      <c r="AB82" s="257" t="s">
        <v>51</v>
      </c>
      <c r="AC82" s="30"/>
      <c r="AD82" s="30"/>
      <c r="AE82" s="30"/>
      <c r="AF82" s="30"/>
      <c r="AG82" s="30"/>
      <c r="AH82" s="30"/>
      <c r="AI82" s="30"/>
      <c r="AJ82" s="30"/>
      <c r="AK82" s="30"/>
    </row>
    <row r="83" spans="1:37" ht="20.100000000000001" customHeight="1">
      <c r="A83" s="283"/>
      <c r="B83" s="8" t="s">
        <v>32</v>
      </c>
      <c r="C83" s="50">
        <v>33</v>
      </c>
      <c r="D83" s="129">
        <v>10</v>
      </c>
      <c r="E83" s="130">
        <v>4</v>
      </c>
      <c r="F83" s="130">
        <v>4</v>
      </c>
      <c r="G83" s="167">
        <f t="shared" si="5"/>
        <v>1</v>
      </c>
      <c r="H83" s="205">
        <v>10</v>
      </c>
      <c r="I83" s="206" t="s">
        <v>62</v>
      </c>
      <c r="J83" s="131">
        <v>0</v>
      </c>
      <c r="K83" s="132">
        <v>10</v>
      </c>
      <c r="L83" s="133">
        <v>1</v>
      </c>
      <c r="M83" s="133">
        <v>1</v>
      </c>
      <c r="N83" s="219">
        <f t="shared" si="6"/>
        <v>1</v>
      </c>
      <c r="O83" s="235">
        <v>10</v>
      </c>
      <c r="P83" s="245" t="s">
        <v>62</v>
      </c>
      <c r="Q83" s="134" t="s">
        <v>51</v>
      </c>
      <c r="R83" s="135" t="s">
        <v>51</v>
      </c>
      <c r="S83" s="135" t="s">
        <v>51</v>
      </c>
      <c r="T83" s="31" t="s">
        <v>54</v>
      </c>
      <c r="U83" s="267">
        <v>0</v>
      </c>
      <c r="V83" s="242" t="s">
        <v>51</v>
      </c>
      <c r="W83" s="134" t="s">
        <v>51</v>
      </c>
      <c r="X83" s="135" t="s">
        <v>51</v>
      </c>
      <c r="Y83" s="135" t="s">
        <v>51</v>
      </c>
      <c r="Z83" s="217" t="s">
        <v>51</v>
      </c>
      <c r="AA83" s="267">
        <v>0</v>
      </c>
      <c r="AB83" s="242" t="s">
        <v>51</v>
      </c>
      <c r="AC83" s="30"/>
      <c r="AD83" s="30"/>
      <c r="AE83" s="30"/>
      <c r="AF83" s="30"/>
      <c r="AG83" s="30"/>
      <c r="AH83" s="30"/>
      <c r="AI83" s="30"/>
      <c r="AJ83" s="30"/>
      <c r="AK83" s="30"/>
    </row>
    <row r="84" spans="1:37" ht="20.100000000000001" customHeight="1">
      <c r="A84" s="283"/>
      <c r="B84" s="8" t="s">
        <v>44</v>
      </c>
      <c r="C84" s="31">
        <v>31</v>
      </c>
      <c r="D84" s="32">
        <v>10</v>
      </c>
      <c r="E84" s="54">
        <v>4</v>
      </c>
      <c r="F84" s="54">
        <v>3</v>
      </c>
      <c r="G84" s="157">
        <f t="shared" si="5"/>
        <v>0.75</v>
      </c>
      <c r="H84" s="173">
        <v>10</v>
      </c>
      <c r="I84" s="183" t="s">
        <v>107</v>
      </c>
      <c r="J84" s="97">
        <f>IFERROR(F84/C84,"")</f>
        <v>9.6774193548387094E-2</v>
      </c>
      <c r="K84" s="33">
        <v>31</v>
      </c>
      <c r="L84" s="55">
        <v>3</v>
      </c>
      <c r="M84" s="55">
        <v>2</v>
      </c>
      <c r="N84" s="213">
        <f t="shared" si="6"/>
        <v>0.66666666666666663</v>
      </c>
      <c r="O84" s="226">
        <v>31</v>
      </c>
      <c r="P84" s="237" t="s">
        <v>135</v>
      </c>
      <c r="Q84" s="110" t="s">
        <v>54</v>
      </c>
      <c r="R84" s="34" t="s">
        <v>54</v>
      </c>
      <c r="S84" s="34" t="s">
        <v>54</v>
      </c>
      <c r="T84" s="31" t="s">
        <v>54</v>
      </c>
      <c r="U84" s="180" t="s">
        <v>54</v>
      </c>
      <c r="V84" s="257" t="s">
        <v>54</v>
      </c>
      <c r="W84" s="110" t="s">
        <v>54</v>
      </c>
      <c r="X84" s="34" t="s">
        <v>54</v>
      </c>
      <c r="Y84" s="34" t="s">
        <v>54</v>
      </c>
      <c r="Z84" s="160" t="s">
        <v>54</v>
      </c>
      <c r="AA84" s="180" t="s">
        <v>54</v>
      </c>
      <c r="AB84" s="257" t="s">
        <v>54</v>
      </c>
      <c r="AC84" s="30"/>
      <c r="AD84" s="30"/>
      <c r="AE84" s="30"/>
      <c r="AF84" s="30"/>
      <c r="AG84" s="30"/>
      <c r="AH84" s="30"/>
      <c r="AI84" s="30"/>
      <c r="AJ84" s="30"/>
      <c r="AK84" s="30"/>
    </row>
    <row r="85" spans="1:37" ht="20.100000000000001" customHeight="1">
      <c r="A85" s="283"/>
      <c r="B85" s="8" t="s">
        <v>136</v>
      </c>
      <c r="C85" s="50">
        <v>53</v>
      </c>
      <c r="D85" s="51">
        <v>20</v>
      </c>
      <c r="E85" s="73">
        <v>3</v>
      </c>
      <c r="F85" s="73">
        <v>3</v>
      </c>
      <c r="G85" s="157">
        <f t="shared" si="5"/>
        <v>1</v>
      </c>
      <c r="H85" s="203">
        <v>16</v>
      </c>
      <c r="I85" s="183" t="s">
        <v>98</v>
      </c>
      <c r="J85" s="97">
        <v>0</v>
      </c>
      <c r="K85" s="52">
        <v>20</v>
      </c>
      <c r="L85" s="77">
        <v>8</v>
      </c>
      <c r="M85" s="77">
        <v>8</v>
      </c>
      <c r="N85" s="213">
        <f t="shared" si="6"/>
        <v>1</v>
      </c>
      <c r="O85" s="234">
        <v>16</v>
      </c>
      <c r="P85" s="232" t="s">
        <v>98</v>
      </c>
      <c r="Q85" s="118" t="s">
        <v>51</v>
      </c>
      <c r="R85" s="53" t="s">
        <v>51</v>
      </c>
      <c r="S85" s="53" t="s">
        <v>51</v>
      </c>
      <c r="T85" s="31" t="s">
        <v>54</v>
      </c>
      <c r="U85" s="266" t="s">
        <v>51</v>
      </c>
      <c r="V85" s="257" t="s">
        <v>51</v>
      </c>
      <c r="W85" s="118" t="s">
        <v>51</v>
      </c>
      <c r="X85" s="53" t="s">
        <v>51</v>
      </c>
      <c r="Y85" s="53" t="s">
        <v>51</v>
      </c>
      <c r="Z85" s="160" t="s">
        <v>51</v>
      </c>
      <c r="AA85" s="266" t="s">
        <v>51</v>
      </c>
      <c r="AB85" s="257" t="s">
        <v>51</v>
      </c>
      <c r="AC85" s="30"/>
      <c r="AD85" s="30"/>
      <c r="AE85" s="30"/>
      <c r="AF85" s="30"/>
      <c r="AG85" s="30"/>
      <c r="AH85" s="30"/>
      <c r="AI85" s="30"/>
      <c r="AJ85" s="30"/>
      <c r="AK85" s="30"/>
    </row>
    <row r="86" spans="1:37" ht="20.100000000000001" customHeight="1">
      <c r="A86" s="283"/>
      <c r="B86" s="8" t="s">
        <v>13</v>
      </c>
      <c r="C86" s="50">
        <v>49</v>
      </c>
      <c r="D86" s="51">
        <v>20</v>
      </c>
      <c r="E86" s="73">
        <v>6</v>
      </c>
      <c r="F86" s="73">
        <v>5</v>
      </c>
      <c r="G86" s="157">
        <f t="shared" si="5"/>
        <v>0.83333333333333337</v>
      </c>
      <c r="H86" s="203">
        <v>20</v>
      </c>
      <c r="I86" s="179" t="s">
        <v>106</v>
      </c>
      <c r="J86" s="97">
        <v>0</v>
      </c>
      <c r="K86" s="52">
        <v>20</v>
      </c>
      <c r="L86" s="77">
        <v>4</v>
      </c>
      <c r="M86" s="77">
        <v>4</v>
      </c>
      <c r="N86" s="213">
        <f t="shared" si="6"/>
        <v>1</v>
      </c>
      <c r="O86" s="234">
        <v>20</v>
      </c>
      <c r="P86" s="237" t="s">
        <v>106</v>
      </c>
      <c r="Q86" s="118" t="s">
        <v>51</v>
      </c>
      <c r="R86" s="53" t="s">
        <v>51</v>
      </c>
      <c r="S86" s="53" t="s">
        <v>51</v>
      </c>
      <c r="T86" s="31" t="s">
        <v>54</v>
      </c>
      <c r="U86" s="266" t="s">
        <v>51</v>
      </c>
      <c r="V86" s="257" t="s">
        <v>51</v>
      </c>
      <c r="W86" s="118" t="s">
        <v>51</v>
      </c>
      <c r="X86" s="53" t="s">
        <v>51</v>
      </c>
      <c r="Y86" s="53" t="s">
        <v>51</v>
      </c>
      <c r="Z86" s="160" t="s">
        <v>51</v>
      </c>
      <c r="AA86" s="266" t="s">
        <v>51</v>
      </c>
      <c r="AB86" s="257" t="s">
        <v>51</v>
      </c>
      <c r="AC86" s="30"/>
      <c r="AD86" s="30"/>
      <c r="AE86" s="30"/>
      <c r="AF86" s="30"/>
      <c r="AG86" s="30"/>
      <c r="AH86" s="30"/>
      <c r="AI86" s="30"/>
      <c r="AJ86" s="30"/>
      <c r="AK86" s="30"/>
    </row>
    <row r="87" spans="1:37" ht="20.100000000000001" customHeight="1">
      <c r="A87" s="283"/>
      <c r="B87" s="8" t="s">
        <v>21</v>
      </c>
      <c r="C87" s="50">
        <v>60</v>
      </c>
      <c r="D87" s="51">
        <v>10</v>
      </c>
      <c r="E87" s="73">
        <v>11</v>
      </c>
      <c r="F87" s="73">
        <v>10</v>
      </c>
      <c r="G87" s="157">
        <f t="shared" si="5"/>
        <v>0.90909090909090906</v>
      </c>
      <c r="H87" s="203">
        <v>10</v>
      </c>
      <c r="I87" s="179" t="s">
        <v>62</v>
      </c>
      <c r="J87" s="97">
        <v>0</v>
      </c>
      <c r="K87" s="52">
        <v>15</v>
      </c>
      <c r="L87" s="77">
        <v>2</v>
      </c>
      <c r="M87" s="77">
        <v>2</v>
      </c>
      <c r="N87" s="213">
        <f t="shared" si="6"/>
        <v>1</v>
      </c>
      <c r="O87" s="234">
        <v>15</v>
      </c>
      <c r="P87" s="237" t="s">
        <v>106</v>
      </c>
      <c r="Q87" s="118" t="s">
        <v>51</v>
      </c>
      <c r="R87" s="53" t="s">
        <v>51</v>
      </c>
      <c r="S87" s="53" t="s">
        <v>51</v>
      </c>
      <c r="T87" s="31" t="s">
        <v>54</v>
      </c>
      <c r="U87" s="266" t="s">
        <v>51</v>
      </c>
      <c r="V87" s="257" t="s">
        <v>51</v>
      </c>
      <c r="W87" s="118" t="s">
        <v>51</v>
      </c>
      <c r="X87" s="53" t="s">
        <v>51</v>
      </c>
      <c r="Y87" s="53" t="s">
        <v>51</v>
      </c>
      <c r="Z87" s="160" t="s">
        <v>51</v>
      </c>
      <c r="AA87" s="266" t="s">
        <v>51</v>
      </c>
      <c r="AB87" s="257" t="s">
        <v>54</v>
      </c>
      <c r="AC87" s="30"/>
      <c r="AD87" s="30"/>
      <c r="AE87" s="30"/>
      <c r="AF87" s="30"/>
      <c r="AG87" s="30"/>
      <c r="AH87" s="30"/>
      <c r="AI87" s="30"/>
      <c r="AJ87" s="30"/>
      <c r="AK87" s="30"/>
    </row>
    <row r="88" spans="1:37" ht="20.100000000000001" customHeight="1">
      <c r="A88" s="283"/>
      <c r="B88" s="92" t="s">
        <v>108</v>
      </c>
      <c r="C88" s="50" t="s">
        <v>51</v>
      </c>
      <c r="D88" s="50" t="s">
        <v>51</v>
      </c>
      <c r="E88" s="50" t="s">
        <v>51</v>
      </c>
      <c r="F88" s="50" t="s">
        <v>51</v>
      </c>
      <c r="G88" s="31" t="s">
        <v>54</v>
      </c>
      <c r="H88" s="207" t="s">
        <v>51</v>
      </c>
      <c r="I88" s="178" t="s">
        <v>51</v>
      </c>
      <c r="J88" s="98" t="s">
        <v>51</v>
      </c>
      <c r="K88" s="50" t="s">
        <v>51</v>
      </c>
      <c r="L88" s="50" t="s">
        <v>51</v>
      </c>
      <c r="M88" s="50" t="s">
        <v>51</v>
      </c>
      <c r="N88" s="31" t="s">
        <v>54</v>
      </c>
      <c r="O88" s="207" t="s">
        <v>51</v>
      </c>
      <c r="P88" s="178" t="s">
        <v>51</v>
      </c>
      <c r="Q88" s="119">
        <v>15</v>
      </c>
      <c r="R88" s="86">
        <v>4</v>
      </c>
      <c r="S88" s="86">
        <v>4</v>
      </c>
      <c r="T88" s="248">
        <f t="shared" si="4"/>
        <v>1</v>
      </c>
      <c r="U88" s="268"/>
      <c r="V88" s="259" t="s">
        <v>106</v>
      </c>
      <c r="W88" s="118" t="s">
        <v>51</v>
      </c>
      <c r="X88" s="53" t="s">
        <v>51</v>
      </c>
      <c r="Y88" s="53" t="s">
        <v>51</v>
      </c>
      <c r="Z88" s="160" t="s">
        <v>51</v>
      </c>
      <c r="AA88" s="266" t="s">
        <v>51</v>
      </c>
      <c r="AB88" s="257" t="s">
        <v>54</v>
      </c>
      <c r="AC88" s="30"/>
      <c r="AD88" s="30"/>
      <c r="AE88" s="30"/>
      <c r="AF88" s="30"/>
      <c r="AG88" s="30"/>
      <c r="AH88" s="30"/>
      <c r="AI88" s="30"/>
      <c r="AJ88" s="30"/>
      <c r="AK88" s="30"/>
    </row>
    <row r="89" spans="1:37" ht="20.100000000000001" customHeight="1">
      <c r="A89" s="283"/>
      <c r="B89" s="8" t="s">
        <v>7</v>
      </c>
      <c r="C89" s="31">
        <v>33</v>
      </c>
      <c r="D89" s="32">
        <v>33</v>
      </c>
      <c r="E89" s="54">
        <v>1</v>
      </c>
      <c r="F89" s="54">
        <v>1</v>
      </c>
      <c r="G89" s="157">
        <f t="shared" si="5"/>
        <v>1</v>
      </c>
      <c r="H89" s="173">
        <v>33</v>
      </c>
      <c r="I89" s="183" t="s">
        <v>86</v>
      </c>
      <c r="J89" s="97">
        <f>IFERROR(F89/C89,"")</f>
        <v>3.0303030303030304E-2</v>
      </c>
      <c r="K89" s="33">
        <v>33</v>
      </c>
      <c r="L89" s="55">
        <v>2</v>
      </c>
      <c r="M89" s="55">
        <v>2</v>
      </c>
      <c r="N89" s="213">
        <f t="shared" si="6"/>
        <v>1</v>
      </c>
      <c r="O89" s="226">
        <v>33</v>
      </c>
      <c r="P89" s="232" t="s">
        <v>86</v>
      </c>
      <c r="Q89" s="110" t="s">
        <v>54</v>
      </c>
      <c r="R89" s="34" t="s">
        <v>54</v>
      </c>
      <c r="S89" s="34" t="s">
        <v>54</v>
      </c>
      <c r="T89" s="31" t="s">
        <v>54</v>
      </c>
      <c r="U89" s="180" t="s">
        <v>54</v>
      </c>
      <c r="V89" s="257" t="s">
        <v>54</v>
      </c>
      <c r="W89" s="110" t="s">
        <v>54</v>
      </c>
      <c r="X89" s="34" t="s">
        <v>54</v>
      </c>
      <c r="Y89" s="34" t="s">
        <v>54</v>
      </c>
      <c r="Z89" s="160" t="s">
        <v>54</v>
      </c>
      <c r="AA89" s="180" t="s">
        <v>54</v>
      </c>
      <c r="AB89" s="257" t="s">
        <v>54</v>
      </c>
      <c r="AC89" s="30"/>
      <c r="AD89" s="30"/>
      <c r="AE89" s="30"/>
      <c r="AF89" s="30"/>
      <c r="AG89" s="30"/>
      <c r="AH89" s="30"/>
      <c r="AI89" s="30"/>
      <c r="AJ89" s="30"/>
      <c r="AK89" s="30"/>
    </row>
    <row r="90" spans="1:37" ht="20.100000000000001" customHeight="1">
      <c r="A90" s="283"/>
      <c r="B90" s="8" t="s">
        <v>137</v>
      </c>
      <c r="C90" s="31">
        <v>71</v>
      </c>
      <c r="D90" s="32">
        <v>30</v>
      </c>
      <c r="E90" s="54">
        <v>47</v>
      </c>
      <c r="F90" s="54">
        <v>24</v>
      </c>
      <c r="G90" s="157">
        <f t="shared" si="5"/>
        <v>0.51063829787234039</v>
      </c>
      <c r="H90" s="173">
        <v>30</v>
      </c>
      <c r="I90" s="183" t="s">
        <v>109</v>
      </c>
      <c r="J90" s="97">
        <v>0</v>
      </c>
      <c r="K90" s="33">
        <v>15</v>
      </c>
      <c r="L90" s="55">
        <v>15</v>
      </c>
      <c r="M90" s="55">
        <v>12</v>
      </c>
      <c r="N90" s="213">
        <f t="shared" si="6"/>
        <v>0.8</v>
      </c>
      <c r="O90" s="226">
        <v>15</v>
      </c>
      <c r="P90" s="232" t="s">
        <v>97</v>
      </c>
      <c r="Q90" s="110" t="s">
        <v>51</v>
      </c>
      <c r="R90" s="34" t="s">
        <v>51</v>
      </c>
      <c r="S90" s="34" t="s">
        <v>51</v>
      </c>
      <c r="T90" s="31" t="s">
        <v>54</v>
      </c>
      <c r="U90" s="180" t="s">
        <v>51</v>
      </c>
      <c r="V90" s="257" t="s">
        <v>51</v>
      </c>
      <c r="W90" s="110" t="s">
        <v>51</v>
      </c>
      <c r="X90" s="34" t="s">
        <v>51</v>
      </c>
      <c r="Y90" s="34" t="s">
        <v>51</v>
      </c>
      <c r="Z90" s="160" t="s">
        <v>51</v>
      </c>
      <c r="AA90" s="180" t="s">
        <v>51</v>
      </c>
      <c r="AB90" s="257" t="s">
        <v>51</v>
      </c>
      <c r="AC90" s="30"/>
      <c r="AD90" s="30"/>
      <c r="AE90" s="30"/>
      <c r="AF90" s="30"/>
      <c r="AG90" s="30"/>
      <c r="AH90" s="30"/>
      <c r="AI90" s="30"/>
      <c r="AJ90" s="30"/>
      <c r="AK90" s="30"/>
    </row>
    <row r="91" spans="1:37" s="7" customFormat="1" ht="20.100000000000001" customHeight="1">
      <c r="A91" s="283"/>
      <c r="B91" s="10" t="s">
        <v>79</v>
      </c>
      <c r="C91" s="38">
        <f>SUM(C82:C90)</f>
        <v>372</v>
      </c>
      <c r="D91" s="38">
        <f>SUM(D82:D90)</f>
        <v>175</v>
      </c>
      <c r="E91" s="38">
        <f>SUM(E82:E90)</f>
        <v>84</v>
      </c>
      <c r="F91" s="38">
        <f>SUM(F82:F90)</f>
        <v>58</v>
      </c>
      <c r="G91" s="161">
        <f t="shared" si="5"/>
        <v>0.69047619047619047</v>
      </c>
      <c r="H91" s="184">
        <f>SUM(H82:H90)</f>
        <v>171</v>
      </c>
      <c r="I91" s="185" t="s">
        <v>54</v>
      </c>
      <c r="J91" s="99">
        <f>IFERROR(F91/C91,"")</f>
        <v>0.15591397849462366</v>
      </c>
      <c r="K91" s="38">
        <f>SUM(K82:K90)</f>
        <v>186</v>
      </c>
      <c r="L91" s="38">
        <f>SUM(L82:L90)</f>
        <v>36</v>
      </c>
      <c r="M91" s="38">
        <f>SUM(M82:M90)</f>
        <v>32</v>
      </c>
      <c r="N91" s="161">
        <f t="shared" si="6"/>
        <v>0.88888888888888884</v>
      </c>
      <c r="O91" s="184">
        <f>SUM(O82:O90)</f>
        <v>182</v>
      </c>
      <c r="P91" s="185" t="s">
        <v>54</v>
      </c>
      <c r="Q91" s="112">
        <f>SUM(Q82:Q90)</f>
        <v>15</v>
      </c>
      <c r="R91" s="38">
        <f>SUM(R82:R90)</f>
        <v>4</v>
      </c>
      <c r="S91" s="38">
        <f>SUM(S82:S90)</f>
        <v>4</v>
      </c>
      <c r="T91" s="161">
        <f t="shared" si="4"/>
        <v>1</v>
      </c>
      <c r="U91" s="184">
        <f>SUM(U82:U90)</f>
        <v>0</v>
      </c>
      <c r="V91" s="185" t="s">
        <v>54</v>
      </c>
      <c r="W91" s="112" t="s">
        <v>54</v>
      </c>
      <c r="X91" s="38">
        <f>SUM(X82:X90)</f>
        <v>0</v>
      </c>
      <c r="Y91" s="38">
        <f>SUM(Y82:Y90)</f>
        <v>0</v>
      </c>
      <c r="Z91" s="161" t="str">
        <f>IFERROR(Y91/X91,"")</f>
        <v/>
      </c>
      <c r="AA91" s="184">
        <f>SUM(AA82:AA90)</f>
        <v>0</v>
      </c>
      <c r="AB91" s="185" t="s">
        <v>54</v>
      </c>
    </row>
    <row r="92" spans="1:37" ht="20.100000000000001" customHeight="1">
      <c r="A92" s="286" t="s">
        <v>110</v>
      </c>
      <c r="B92" s="13" t="s">
        <v>42</v>
      </c>
      <c r="C92" s="50">
        <v>27</v>
      </c>
      <c r="D92" s="51">
        <v>4</v>
      </c>
      <c r="E92" s="73">
        <v>1</v>
      </c>
      <c r="F92" s="73">
        <v>1</v>
      </c>
      <c r="G92" s="157">
        <f t="shared" si="5"/>
        <v>1</v>
      </c>
      <c r="H92" s="203">
        <v>5</v>
      </c>
      <c r="I92" s="179" t="s">
        <v>176</v>
      </c>
      <c r="J92" s="97">
        <v>0</v>
      </c>
      <c r="K92" s="52">
        <v>2</v>
      </c>
      <c r="L92" s="77">
        <v>4</v>
      </c>
      <c r="M92" s="77">
        <v>4</v>
      </c>
      <c r="N92" s="213">
        <f t="shared" si="6"/>
        <v>1</v>
      </c>
      <c r="O92" s="234">
        <v>5</v>
      </c>
      <c r="P92" s="237" t="s">
        <v>176</v>
      </c>
      <c r="Q92" s="110" t="s">
        <v>51</v>
      </c>
      <c r="R92" s="34" t="s">
        <v>51</v>
      </c>
      <c r="S92" s="34" t="s">
        <v>51</v>
      </c>
      <c r="T92" s="31" t="s">
        <v>54</v>
      </c>
      <c r="U92" s="180" t="s">
        <v>51</v>
      </c>
      <c r="V92" s="257" t="s">
        <v>51</v>
      </c>
      <c r="W92" s="110" t="s">
        <v>51</v>
      </c>
      <c r="X92" s="34" t="s">
        <v>51</v>
      </c>
      <c r="Y92" s="34" t="s">
        <v>51</v>
      </c>
      <c r="Z92" s="160" t="s">
        <v>51</v>
      </c>
      <c r="AA92" s="180" t="s">
        <v>51</v>
      </c>
      <c r="AB92" s="257" t="s">
        <v>51</v>
      </c>
      <c r="AC92" s="30"/>
      <c r="AD92" s="30"/>
      <c r="AE92" s="30"/>
      <c r="AF92" s="30"/>
      <c r="AG92" s="30"/>
      <c r="AH92" s="30"/>
      <c r="AI92" s="30"/>
      <c r="AJ92" s="30"/>
      <c r="AK92" s="30"/>
    </row>
    <row r="93" spans="1:37" ht="20.100000000000001" customHeight="1">
      <c r="A93" s="286"/>
      <c r="B93" s="13" t="s">
        <v>138</v>
      </c>
      <c r="C93" s="31">
        <v>35</v>
      </c>
      <c r="D93" s="32">
        <v>15</v>
      </c>
      <c r="E93" s="54">
        <v>25</v>
      </c>
      <c r="F93" s="54">
        <v>9</v>
      </c>
      <c r="G93" s="157">
        <f t="shared" si="5"/>
        <v>0.36</v>
      </c>
      <c r="H93" s="173">
        <v>15</v>
      </c>
      <c r="I93" s="179" t="s">
        <v>177</v>
      </c>
      <c r="J93" s="97">
        <v>0</v>
      </c>
      <c r="K93" s="33">
        <v>7</v>
      </c>
      <c r="L93" s="55">
        <v>7</v>
      </c>
      <c r="M93" s="55">
        <v>6</v>
      </c>
      <c r="N93" s="213">
        <f t="shared" si="6"/>
        <v>0.8571428571428571</v>
      </c>
      <c r="O93" s="226">
        <v>7</v>
      </c>
      <c r="P93" s="237" t="s">
        <v>111</v>
      </c>
      <c r="Q93" s="110" t="s">
        <v>51</v>
      </c>
      <c r="R93" s="34" t="s">
        <v>51</v>
      </c>
      <c r="S93" s="34" t="s">
        <v>51</v>
      </c>
      <c r="T93" s="31" t="s">
        <v>54</v>
      </c>
      <c r="U93" s="180" t="s">
        <v>51</v>
      </c>
      <c r="V93" s="257" t="s">
        <v>51</v>
      </c>
      <c r="W93" s="110" t="s">
        <v>51</v>
      </c>
      <c r="X93" s="34" t="s">
        <v>51</v>
      </c>
      <c r="Y93" s="34" t="s">
        <v>51</v>
      </c>
      <c r="Z93" s="160" t="s">
        <v>51</v>
      </c>
      <c r="AA93" s="180" t="s">
        <v>51</v>
      </c>
      <c r="AB93" s="257" t="s">
        <v>51</v>
      </c>
      <c r="AC93" s="30"/>
      <c r="AD93" s="30"/>
      <c r="AE93" s="30"/>
      <c r="AF93" s="30"/>
      <c r="AG93" s="30"/>
      <c r="AH93" s="30"/>
      <c r="AI93" s="30"/>
      <c r="AJ93" s="30"/>
      <c r="AK93" s="30"/>
    </row>
    <row r="94" spans="1:37" ht="20.100000000000001" customHeight="1">
      <c r="A94" s="286"/>
      <c r="B94" s="56" t="s">
        <v>34</v>
      </c>
      <c r="C94" s="57">
        <v>61</v>
      </c>
      <c r="D94" s="32">
        <v>15</v>
      </c>
      <c r="E94" s="54">
        <v>4</v>
      </c>
      <c r="F94" s="54">
        <v>4</v>
      </c>
      <c r="G94" s="157">
        <f t="shared" si="5"/>
        <v>1</v>
      </c>
      <c r="H94" s="173">
        <v>15</v>
      </c>
      <c r="I94" s="179" t="s">
        <v>194</v>
      </c>
      <c r="J94" s="97">
        <v>0</v>
      </c>
      <c r="K94" s="33">
        <v>10</v>
      </c>
      <c r="L94" s="55">
        <v>2</v>
      </c>
      <c r="M94" s="55">
        <v>2</v>
      </c>
      <c r="N94" s="213">
        <f t="shared" si="6"/>
        <v>1</v>
      </c>
      <c r="O94" s="226">
        <v>10</v>
      </c>
      <c r="P94" s="237" t="s">
        <v>86</v>
      </c>
      <c r="Q94" s="110" t="s">
        <v>51</v>
      </c>
      <c r="R94" s="34" t="s">
        <v>51</v>
      </c>
      <c r="S94" s="34" t="s">
        <v>51</v>
      </c>
      <c r="T94" s="31" t="s">
        <v>54</v>
      </c>
      <c r="U94" s="180" t="s">
        <v>51</v>
      </c>
      <c r="V94" s="257" t="s">
        <v>51</v>
      </c>
      <c r="W94" s="110" t="s">
        <v>51</v>
      </c>
      <c r="X94" s="34" t="s">
        <v>51</v>
      </c>
      <c r="Y94" s="34" t="s">
        <v>51</v>
      </c>
      <c r="Z94" s="160" t="s">
        <v>51</v>
      </c>
      <c r="AA94" s="180" t="s">
        <v>51</v>
      </c>
      <c r="AB94" s="257" t="s">
        <v>51</v>
      </c>
      <c r="AC94" s="30"/>
      <c r="AD94" s="30"/>
      <c r="AE94" s="30"/>
      <c r="AF94" s="30"/>
      <c r="AG94" s="30"/>
      <c r="AH94" s="30"/>
      <c r="AI94" s="30"/>
      <c r="AJ94" s="30"/>
      <c r="AK94" s="30"/>
    </row>
    <row r="95" spans="1:37" ht="20.100000000000001" customHeight="1">
      <c r="A95" s="286"/>
      <c r="B95" s="13" t="s">
        <v>31</v>
      </c>
      <c r="C95" s="31">
        <v>27</v>
      </c>
      <c r="D95" s="32">
        <v>10</v>
      </c>
      <c r="E95" s="54">
        <v>14</v>
      </c>
      <c r="F95" s="54">
        <v>10</v>
      </c>
      <c r="G95" s="157">
        <f t="shared" si="5"/>
        <v>0.7142857142857143</v>
      </c>
      <c r="H95" s="173">
        <v>10</v>
      </c>
      <c r="I95" s="183" t="s">
        <v>112</v>
      </c>
      <c r="J95" s="97">
        <f>IFERROR(F95/C95,"")</f>
        <v>0.37037037037037035</v>
      </c>
      <c r="K95" s="33">
        <v>7</v>
      </c>
      <c r="L95" s="55">
        <v>13</v>
      </c>
      <c r="M95" s="55">
        <v>9</v>
      </c>
      <c r="N95" s="213">
        <f t="shared" si="6"/>
        <v>0.69230769230769229</v>
      </c>
      <c r="O95" s="226">
        <v>7</v>
      </c>
      <c r="P95" s="237" t="s">
        <v>68</v>
      </c>
      <c r="Q95" s="110" t="s">
        <v>54</v>
      </c>
      <c r="R95" s="34" t="s">
        <v>54</v>
      </c>
      <c r="S95" s="34" t="s">
        <v>54</v>
      </c>
      <c r="T95" s="31" t="s">
        <v>54</v>
      </c>
      <c r="U95" s="180" t="s">
        <v>54</v>
      </c>
      <c r="V95" s="257" t="s">
        <v>54</v>
      </c>
      <c r="W95" s="110" t="s">
        <v>54</v>
      </c>
      <c r="X95" s="34" t="s">
        <v>54</v>
      </c>
      <c r="Y95" s="34" t="s">
        <v>54</v>
      </c>
      <c r="Z95" s="160" t="s">
        <v>54</v>
      </c>
      <c r="AA95" s="180" t="s">
        <v>54</v>
      </c>
      <c r="AB95" s="257" t="s">
        <v>54</v>
      </c>
      <c r="AC95" s="30"/>
      <c r="AD95" s="30"/>
      <c r="AE95" s="30"/>
      <c r="AF95" s="30"/>
      <c r="AG95" s="30"/>
      <c r="AH95" s="30"/>
      <c r="AI95" s="30"/>
      <c r="AJ95" s="30"/>
      <c r="AK95" s="30"/>
    </row>
    <row r="96" spans="1:37" ht="20.100000000000001" customHeight="1">
      <c r="A96" s="286"/>
      <c r="B96" s="8" t="s">
        <v>38</v>
      </c>
      <c r="C96" s="31">
        <v>45</v>
      </c>
      <c r="D96" s="32">
        <v>20</v>
      </c>
      <c r="E96" s="54">
        <v>26</v>
      </c>
      <c r="F96" s="54">
        <v>24</v>
      </c>
      <c r="G96" s="157">
        <f t="shared" si="5"/>
        <v>0.92307692307692313</v>
      </c>
      <c r="H96" s="173">
        <v>20</v>
      </c>
      <c r="I96" s="183" t="s">
        <v>106</v>
      </c>
      <c r="J96" s="97">
        <v>0</v>
      </c>
      <c r="K96" s="33">
        <v>20</v>
      </c>
      <c r="L96" s="55">
        <v>4</v>
      </c>
      <c r="M96" s="55">
        <v>3</v>
      </c>
      <c r="N96" s="213">
        <f t="shared" si="6"/>
        <v>0.75</v>
      </c>
      <c r="O96" s="226">
        <v>20</v>
      </c>
      <c r="P96" s="232" t="s">
        <v>106</v>
      </c>
      <c r="Q96" s="110" t="s">
        <v>51</v>
      </c>
      <c r="R96" s="34" t="s">
        <v>51</v>
      </c>
      <c r="S96" s="34" t="s">
        <v>51</v>
      </c>
      <c r="T96" s="31" t="s">
        <v>54</v>
      </c>
      <c r="U96" s="180" t="s">
        <v>51</v>
      </c>
      <c r="V96" s="257" t="s">
        <v>51</v>
      </c>
      <c r="W96" s="110" t="s">
        <v>51</v>
      </c>
      <c r="X96" s="34" t="s">
        <v>51</v>
      </c>
      <c r="Y96" s="34" t="s">
        <v>51</v>
      </c>
      <c r="Z96" s="160" t="s">
        <v>51</v>
      </c>
      <c r="AA96" s="180" t="s">
        <v>51</v>
      </c>
      <c r="AB96" s="257" t="s">
        <v>51</v>
      </c>
      <c r="AC96" s="30"/>
      <c r="AD96" s="30"/>
      <c r="AE96" s="30"/>
      <c r="AF96" s="30"/>
      <c r="AG96" s="30"/>
      <c r="AH96" s="30"/>
      <c r="AI96" s="30"/>
      <c r="AJ96" s="30"/>
      <c r="AK96" s="30"/>
    </row>
    <row r="97" spans="1:37" ht="20.100000000000001" customHeight="1">
      <c r="A97" s="286"/>
      <c r="B97" s="92" t="s">
        <v>113</v>
      </c>
      <c r="C97" s="31" t="s">
        <v>54</v>
      </c>
      <c r="D97" s="31" t="s">
        <v>51</v>
      </c>
      <c r="E97" s="31" t="s">
        <v>51</v>
      </c>
      <c r="F97" s="31" t="s">
        <v>51</v>
      </c>
      <c r="G97" s="31" t="s">
        <v>54</v>
      </c>
      <c r="H97" s="177"/>
      <c r="I97" s="178" t="s">
        <v>51</v>
      </c>
      <c r="J97" s="98" t="s">
        <v>51</v>
      </c>
      <c r="K97" s="31" t="s">
        <v>51</v>
      </c>
      <c r="L97" s="31" t="s">
        <v>51</v>
      </c>
      <c r="M97" s="31" t="s">
        <v>51</v>
      </c>
      <c r="N97" s="31" t="s">
        <v>54</v>
      </c>
      <c r="O97" s="177" t="s">
        <v>51</v>
      </c>
      <c r="P97" s="178" t="s">
        <v>51</v>
      </c>
      <c r="Q97" s="111">
        <v>100</v>
      </c>
      <c r="R97" s="85">
        <v>1</v>
      </c>
      <c r="S97" s="85">
        <v>1</v>
      </c>
      <c r="T97" s="250">
        <f t="shared" si="4"/>
        <v>1</v>
      </c>
      <c r="U97" s="256"/>
      <c r="V97" s="258" t="s">
        <v>65</v>
      </c>
      <c r="W97" s="110" t="s">
        <v>51</v>
      </c>
      <c r="X97" s="34" t="s">
        <v>51</v>
      </c>
      <c r="Y97" s="34" t="s">
        <v>51</v>
      </c>
      <c r="Z97" s="160" t="s">
        <v>51</v>
      </c>
      <c r="AA97" s="180" t="s">
        <v>51</v>
      </c>
      <c r="AB97" s="257" t="s">
        <v>51</v>
      </c>
      <c r="AC97" s="30"/>
      <c r="AD97" s="30"/>
      <c r="AE97" s="30"/>
      <c r="AF97" s="30"/>
      <c r="AG97" s="30"/>
      <c r="AH97" s="30"/>
      <c r="AI97" s="30"/>
      <c r="AJ97" s="30"/>
      <c r="AK97" s="30"/>
    </row>
    <row r="98" spans="1:37" ht="20.100000000000001" customHeight="1">
      <c r="A98" s="286"/>
      <c r="B98" s="92" t="s">
        <v>114</v>
      </c>
      <c r="C98" s="31" t="s">
        <v>54</v>
      </c>
      <c r="D98" s="31" t="s">
        <v>51</v>
      </c>
      <c r="E98" s="31" t="s">
        <v>51</v>
      </c>
      <c r="F98" s="31" t="s">
        <v>51</v>
      </c>
      <c r="G98" s="31" t="s">
        <v>54</v>
      </c>
      <c r="H98" s="177" t="s">
        <v>51</v>
      </c>
      <c r="I98" s="178" t="s">
        <v>51</v>
      </c>
      <c r="J98" s="98" t="s">
        <v>51</v>
      </c>
      <c r="K98" s="31" t="s">
        <v>51</v>
      </c>
      <c r="L98" s="31" t="s">
        <v>51</v>
      </c>
      <c r="M98" s="31" t="s">
        <v>51</v>
      </c>
      <c r="N98" s="31" t="s">
        <v>54</v>
      </c>
      <c r="O98" s="177" t="s">
        <v>51</v>
      </c>
      <c r="P98" s="178" t="s">
        <v>51</v>
      </c>
      <c r="Q98" s="111">
        <v>100</v>
      </c>
      <c r="R98" s="85">
        <v>0</v>
      </c>
      <c r="S98" s="85">
        <v>0</v>
      </c>
      <c r="T98" s="250" t="str">
        <f t="shared" si="4"/>
        <v/>
      </c>
      <c r="U98" s="256"/>
      <c r="V98" s="258" t="s">
        <v>65</v>
      </c>
      <c r="W98" s="110" t="s">
        <v>51</v>
      </c>
      <c r="X98" s="34" t="s">
        <v>51</v>
      </c>
      <c r="Y98" s="34" t="s">
        <v>51</v>
      </c>
      <c r="Z98" s="160" t="s">
        <v>51</v>
      </c>
      <c r="AA98" s="180" t="s">
        <v>51</v>
      </c>
      <c r="AB98" s="257" t="s">
        <v>51</v>
      </c>
      <c r="AC98" s="30"/>
      <c r="AD98" s="30"/>
      <c r="AE98" s="30"/>
      <c r="AF98" s="30"/>
      <c r="AG98" s="30"/>
      <c r="AH98" s="30"/>
      <c r="AI98" s="30"/>
      <c r="AJ98" s="30"/>
      <c r="AK98" s="30"/>
    </row>
    <row r="99" spans="1:37" ht="20.100000000000001" customHeight="1">
      <c r="A99" s="286"/>
      <c r="B99" s="92" t="s">
        <v>115</v>
      </c>
      <c r="C99" s="31" t="s">
        <v>54</v>
      </c>
      <c r="D99" s="31" t="s">
        <v>51</v>
      </c>
      <c r="E99" s="31" t="s">
        <v>51</v>
      </c>
      <c r="F99" s="31" t="s">
        <v>51</v>
      </c>
      <c r="G99" s="31" t="s">
        <v>54</v>
      </c>
      <c r="H99" s="177" t="s">
        <v>51</v>
      </c>
      <c r="I99" s="178" t="s">
        <v>51</v>
      </c>
      <c r="J99" s="98" t="s">
        <v>51</v>
      </c>
      <c r="K99" s="31" t="s">
        <v>51</v>
      </c>
      <c r="L99" s="31" t="s">
        <v>51</v>
      </c>
      <c r="M99" s="31" t="s">
        <v>51</v>
      </c>
      <c r="N99" s="31" t="s">
        <v>54</v>
      </c>
      <c r="O99" s="177" t="s">
        <v>51</v>
      </c>
      <c r="P99" s="178" t="s">
        <v>51</v>
      </c>
      <c r="Q99" s="111">
        <v>100</v>
      </c>
      <c r="R99" s="85">
        <v>0</v>
      </c>
      <c r="S99" s="85">
        <v>0</v>
      </c>
      <c r="T99" s="250" t="str">
        <f t="shared" si="4"/>
        <v/>
      </c>
      <c r="U99" s="256"/>
      <c r="V99" s="258" t="s">
        <v>178</v>
      </c>
      <c r="W99" s="110" t="s">
        <v>51</v>
      </c>
      <c r="X99" s="34" t="s">
        <v>51</v>
      </c>
      <c r="Y99" s="34" t="s">
        <v>51</v>
      </c>
      <c r="Z99" s="160" t="s">
        <v>51</v>
      </c>
      <c r="AA99" s="180" t="s">
        <v>51</v>
      </c>
      <c r="AB99" s="257" t="s">
        <v>51</v>
      </c>
      <c r="AC99" s="30"/>
      <c r="AD99" s="30"/>
      <c r="AE99" s="30"/>
      <c r="AF99" s="30"/>
      <c r="AG99" s="30"/>
      <c r="AH99" s="30"/>
      <c r="AI99" s="30"/>
      <c r="AJ99" s="30"/>
      <c r="AK99" s="30"/>
    </row>
    <row r="100" spans="1:37" s="7" customFormat="1" ht="20.100000000000001" customHeight="1">
      <c r="A100" s="286"/>
      <c r="B100" s="10" t="s">
        <v>79</v>
      </c>
      <c r="C100" s="38">
        <f>SUM(C92:C99)</f>
        <v>195</v>
      </c>
      <c r="D100" s="38">
        <f>SUM(D92:D99)</f>
        <v>64</v>
      </c>
      <c r="E100" s="38">
        <f>SUM(E92:E99)</f>
        <v>70</v>
      </c>
      <c r="F100" s="38">
        <f>SUM(F92:F99)</f>
        <v>48</v>
      </c>
      <c r="G100" s="161">
        <f t="shared" si="5"/>
        <v>0.68571428571428572</v>
      </c>
      <c r="H100" s="184">
        <f>SUM(H92:H99)</f>
        <v>65</v>
      </c>
      <c r="I100" s="185" t="s">
        <v>54</v>
      </c>
      <c r="J100" s="99">
        <f t="shared" ref="J100:J105" si="7">IFERROR(F100/C100,"")</f>
        <v>0.24615384615384617</v>
      </c>
      <c r="K100" s="38">
        <f>SUM(K92:K99)</f>
        <v>46</v>
      </c>
      <c r="L100" s="38">
        <f>SUM(L92:L99)</f>
        <v>30</v>
      </c>
      <c r="M100" s="38">
        <f>SUM(M92:M99)</f>
        <v>24</v>
      </c>
      <c r="N100" s="161">
        <f t="shared" si="6"/>
        <v>0.8</v>
      </c>
      <c r="O100" s="184">
        <f>SUM(O92:O99)</f>
        <v>49</v>
      </c>
      <c r="P100" s="185" t="s">
        <v>54</v>
      </c>
      <c r="Q100" s="112">
        <f>SUM(Q92:Q99)</f>
        <v>300</v>
      </c>
      <c r="R100" s="38">
        <f>SUM(R92:R99)</f>
        <v>1</v>
      </c>
      <c r="S100" s="38">
        <f>SUM(S92:S99)</f>
        <v>1</v>
      </c>
      <c r="T100" s="161">
        <f t="shared" si="4"/>
        <v>1</v>
      </c>
      <c r="U100" s="184">
        <f>SUM(U92:U99)</f>
        <v>0</v>
      </c>
      <c r="V100" s="185" t="s">
        <v>54</v>
      </c>
      <c r="W100" s="112" t="s">
        <v>54</v>
      </c>
      <c r="X100" s="38">
        <f>SUM(X92:X99)</f>
        <v>0</v>
      </c>
      <c r="Y100" s="38">
        <f>SUM(Y92:Y99)</f>
        <v>0</v>
      </c>
      <c r="Z100" s="161" t="str">
        <f>IFERROR(Y100/X100,"")</f>
        <v/>
      </c>
      <c r="AA100" s="184">
        <f>SUM(AA92:AA99)</f>
        <v>0</v>
      </c>
      <c r="AB100" s="185" t="s">
        <v>54</v>
      </c>
    </row>
    <row r="101" spans="1:37" ht="20.100000000000001" customHeight="1">
      <c r="A101" s="286" t="s">
        <v>116</v>
      </c>
      <c r="B101" s="13" t="s">
        <v>139</v>
      </c>
      <c r="C101" s="31">
        <v>3</v>
      </c>
      <c r="D101" s="60">
        <v>15</v>
      </c>
      <c r="E101" s="58">
        <v>4</v>
      </c>
      <c r="F101" s="58">
        <v>4</v>
      </c>
      <c r="G101" s="168">
        <f t="shared" si="5"/>
        <v>1</v>
      </c>
      <c r="H101" s="208">
        <v>15</v>
      </c>
      <c r="I101" s="209" t="s">
        <v>78</v>
      </c>
      <c r="J101" s="97">
        <f t="shared" si="7"/>
        <v>1.3333333333333333</v>
      </c>
      <c r="K101" s="36">
        <v>15</v>
      </c>
      <c r="L101" s="59">
        <v>0</v>
      </c>
      <c r="M101" s="59">
        <v>0</v>
      </c>
      <c r="N101" s="214" t="str">
        <f t="shared" si="6"/>
        <v/>
      </c>
      <c r="O101" s="228">
        <v>15</v>
      </c>
      <c r="P101" s="239" t="s">
        <v>98</v>
      </c>
      <c r="Q101" s="110" t="s">
        <v>54</v>
      </c>
      <c r="R101" s="34" t="s">
        <v>54</v>
      </c>
      <c r="S101" s="34" t="s">
        <v>54</v>
      </c>
      <c r="T101" s="31" t="s">
        <v>54</v>
      </c>
      <c r="U101" s="180" t="s">
        <v>54</v>
      </c>
      <c r="V101" s="257" t="s">
        <v>54</v>
      </c>
      <c r="W101" s="110" t="s">
        <v>54</v>
      </c>
      <c r="X101" s="34" t="s">
        <v>54</v>
      </c>
      <c r="Y101" s="34" t="s">
        <v>54</v>
      </c>
      <c r="Z101" s="160" t="s">
        <v>54</v>
      </c>
      <c r="AA101" s="180" t="s">
        <v>54</v>
      </c>
      <c r="AB101" s="257" t="s">
        <v>54</v>
      </c>
      <c r="AC101" s="30"/>
      <c r="AD101" s="30"/>
      <c r="AE101" s="30"/>
      <c r="AF101" s="30"/>
      <c r="AG101" s="30"/>
      <c r="AH101" s="30"/>
      <c r="AI101" s="30"/>
      <c r="AJ101" s="30"/>
      <c r="AK101" s="30"/>
    </row>
    <row r="102" spans="1:37" ht="20.100000000000001" customHeight="1">
      <c r="A102" s="286"/>
      <c r="B102" s="13" t="s">
        <v>140</v>
      </c>
      <c r="C102" s="31">
        <v>3</v>
      </c>
      <c r="D102" s="138">
        <v>10</v>
      </c>
      <c r="E102" s="139">
        <v>5</v>
      </c>
      <c r="F102" s="139">
        <v>5</v>
      </c>
      <c r="G102" s="169">
        <f t="shared" si="5"/>
        <v>1</v>
      </c>
      <c r="H102" s="208">
        <v>8</v>
      </c>
      <c r="I102" s="209" t="s">
        <v>78</v>
      </c>
      <c r="J102" s="140">
        <f t="shared" si="7"/>
        <v>1.6666666666666667</v>
      </c>
      <c r="K102" s="141">
        <v>5</v>
      </c>
      <c r="L102" s="142">
        <v>2</v>
      </c>
      <c r="M102" s="142">
        <v>2</v>
      </c>
      <c r="N102" s="220">
        <f t="shared" si="6"/>
        <v>1</v>
      </c>
      <c r="O102" s="228">
        <v>8</v>
      </c>
      <c r="P102" s="239" t="s">
        <v>78</v>
      </c>
      <c r="Q102" s="136" t="s">
        <v>54</v>
      </c>
      <c r="R102" s="137" t="s">
        <v>54</v>
      </c>
      <c r="S102" s="137" t="s">
        <v>54</v>
      </c>
      <c r="T102" s="31" t="s">
        <v>54</v>
      </c>
      <c r="U102" s="180" t="s">
        <v>54</v>
      </c>
      <c r="V102" s="257" t="s">
        <v>54</v>
      </c>
      <c r="W102" s="136" t="s">
        <v>54</v>
      </c>
      <c r="X102" s="137" t="s">
        <v>54</v>
      </c>
      <c r="Y102" s="137" t="s">
        <v>54</v>
      </c>
      <c r="Z102" s="252" t="s">
        <v>54</v>
      </c>
      <c r="AA102" s="180" t="s">
        <v>54</v>
      </c>
      <c r="AB102" s="257" t="s">
        <v>54</v>
      </c>
      <c r="AC102" s="30"/>
      <c r="AD102" s="30"/>
      <c r="AE102" s="30"/>
      <c r="AF102" s="30"/>
      <c r="AG102" s="30"/>
      <c r="AH102" s="30"/>
      <c r="AI102" s="30"/>
      <c r="AJ102" s="30"/>
      <c r="AK102" s="30"/>
    </row>
    <row r="103" spans="1:37" ht="20.100000000000001" customHeight="1">
      <c r="A103" s="286"/>
      <c r="B103" s="13" t="s">
        <v>141</v>
      </c>
      <c r="C103" s="31">
        <v>3</v>
      </c>
      <c r="D103" s="60">
        <v>15</v>
      </c>
      <c r="E103" s="58">
        <v>7</v>
      </c>
      <c r="F103" s="58">
        <v>5</v>
      </c>
      <c r="G103" s="168">
        <f t="shared" si="5"/>
        <v>0.7142857142857143</v>
      </c>
      <c r="H103" s="208">
        <v>15</v>
      </c>
      <c r="I103" s="209" t="s">
        <v>62</v>
      </c>
      <c r="J103" s="97">
        <f t="shared" si="7"/>
        <v>1.6666666666666667</v>
      </c>
      <c r="K103" s="36">
        <v>15</v>
      </c>
      <c r="L103" s="59">
        <v>0</v>
      </c>
      <c r="M103" s="59">
        <v>0</v>
      </c>
      <c r="N103" s="214" t="str">
        <f t="shared" si="6"/>
        <v/>
      </c>
      <c r="O103" s="228">
        <v>15</v>
      </c>
      <c r="P103" s="239" t="s">
        <v>50</v>
      </c>
      <c r="Q103" s="110" t="s">
        <v>54</v>
      </c>
      <c r="R103" s="34" t="s">
        <v>54</v>
      </c>
      <c r="S103" s="34" t="s">
        <v>54</v>
      </c>
      <c r="T103" s="31" t="s">
        <v>54</v>
      </c>
      <c r="U103" s="180" t="s">
        <v>54</v>
      </c>
      <c r="V103" s="257" t="s">
        <v>54</v>
      </c>
      <c r="W103" s="110" t="s">
        <v>54</v>
      </c>
      <c r="X103" s="34" t="s">
        <v>54</v>
      </c>
      <c r="Y103" s="34" t="s">
        <v>54</v>
      </c>
      <c r="Z103" s="160" t="s">
        <v>54</v>
      </c>
      <c r="AA103" s="180" t="s">
        <v>54</v>
      </c>
      <c r="AB103" s="257" t="s">
        <v>54</v>
      </c>
      <c r="AC103" s="30"/>
      <c r="AD103" s="30"/>
      <c r="AE103" s="30"/>
      <c r="AF103" s="30"/>
      <c r="AG103" s="30"/>
      <c r="AH103" s="30"/>
      <c r="AI103" s="30"/>
      <c r="AJ103" s="30"/>
      <c r="AK103" s="30"/>
    </row>
    <row r="104" spans="1:37" ht="20.100000000000001" customHeight="1">
      <c r="A104" s="286"/>
      <c r="B104" s="13" t="s">
        <v>142</v>
      </c>
      <c r="C104" s="31">
        <v>2</v>
      </c>
      <c r="D104" s="60">
        <v>15</v>
      </c>
      <c r="E104" s="58">
        <v>3</v>
      </c>
      <c r="F104" s="58">
        <v>3</v>
      </c>
      <c r="G104" s="168">
        <f t="shared" si="5"/>
        <v>1</v>
      </c>
      <c r="H104" s="208">
        <v>15</v>
      </c>
      <c r="I104" s="209" t="s">
        <v>62</v>
      </c>
      <c r="J104" s="97">
        <f t="shared" si="7"/>
        <v>1.5</v>
      </c>
      <c r="K104" s="36" t="s">
        <v>190</v>
      </c>
      <c r="L104" s="59">
        <v>5</v>
      </c>
      <c r="M104" s="59">
        <v>5</v>
      </c>
      <c r="N104" s="214">
        <f t="shared" si="6"/>
        <v>1</v>
      </c>
      <c r="O104" s="228">
        <v>15</v>
      </c>
      <c r="P104" s="239" t="s">
        <v>50</v>
      </c>
      <c r="Q104" s="110" t="s">
        <v>54</v>
      </c>
      <c r="R104" s="34" t="s">
        <v>54</v>
      </c>
      <c r="S104" s="34" t="s">
        <v>54</v>
      </c>
      <c r="T104" s="31" t="s">
        <v>54</v>
      </c>
      <c r="U104" s="180" t="s">
        <v>54</v>
      </c>
      <c r="V104" s="257" t="s">
        <v>54</v>
      </c>
      <c r="W104" s="110" t="s">
        <v>54</v>
      </c>
      <c r="X104" s="34" t="s">
        <v>54</v>
      </c>
      <c r="Y104" s="34" t="s">
        <v>54</v>
      </c>
      <c r="Z104" s="160" t="s">
        <v>54</v>
      </c>
      <c r="AA104" s="180" t="s">
        <v>54</v>
      </c>
      <c r="AB104" s="257" t="s">
        <v>54</v>
      </c>
      <c r="AC104" s="30"/>
      <c r="AD104" s="30"/>
      <c r="AE104" s="30"/>
      <c r="AF104" s="30"/>
      <c r="AG104" s="30"/>
      <c r="AH104" s="30"/>
      <c r="AI104" s="30"/>
      <c r="AJ104" s="30"/>
      <c r="AK104" s="30"/>
    </row>
    <row r="105" spans="1:37" s="7" customFormat="1" ht="20.100000000000001" customHeight="1">
      <c r="A105" s="286"/>
      <c r="B105" s="10" t="s">
        <v>79</v>
      </c>
      <c r="C105" s="38">
        <f>SUM(C101:C104)</f>
        <v>11</v>
      </c>
      <c r="D105" s="38">
        <f>SUM(D101:D104)</f>
        <v>55</v>
      </c>
      <c r="E105" s="38">
        <f>SUM(E101:E104)</f>
        <v>19</v>
      </c>
      <c r="F105" s="38">
        <f>SUM(F101:F104)</f>
        <v>17</v>
      </c>
      <c r="G105" s="161">
        <f t="shared" si="5"/>
        <v>0.89473684210526316</v>
      </c>
      <c r="H105" s="184">
        <f>SUM(H101:H104)</f>
        <v>53</v>
      </c>
      <c r="I105" s="185" t="s">
        <v>54</v>
      </c>
      <c r="J105" s="99">
        <f t="shared" si="7"/>
        <v>1.5454545454545454</v>
      </c>
      <c r="K105" s="38">
        <f>SUM(K101:K104)</f>
        <v>35</v>
      </c>
      <c r="L105" s="38">
        <f>SUM(L101:L104)</f>
        <v>7</v>
      </c>
      <c r="M105" s="38">
        <f>SUM(M101:M104)</f>
        <v>7</v>
      </c>
      <c r="N105" s="161">
        <f t="shared" si="6"/>
        <v>1</v>
      </c>
      <c r="O105" s="184">
        <f>SUM(O101:O104)</f>
        <v>53</v>
      </c>
      <c r="P105" s="185" t="s">
        <v>54</v>
      </c>
      <c r="Q105" s="112" t="s">
        <v>54</v>
      </c>
      <c r="R105" s="38">
        <f>SUM(R101:R104)</f>
        <v>0</v>
      </c>
      <c r="S105" s="38">
        <f>SUM(S101:S104)</f>
        <v>0</v>
      </c>
      <c r="T105" s="161" t="str">
        <f t="shared" si="4"/>
        <v/>
      </c>
      <c r="U105" s="184">
        <f>SUM(U101:U104)</f>
        <v>0</v>
      </c>
      <c r="V105" s="185" t="s">
        <v>54</v>
      </c>
      <c r="W105" s="112" t="s">
        <v>54</v>
      </c>
      <c r="X105" s="38">
        <f>SUM(X101:X104)</f>
        <v>0</v>
      </c>
      <c r="Y105" s="38">
        <f>SUM(Y101:Y104)</f>
        <v>0</v>
      </c>
      <c r="Z105" s="161" t="str">
        <f>IFERROR(Y105/X105,"")</f>
        <v/>
      </c>
      <c r="AA105" s="184">
        <f>SUM(AA101:AA104)</f>
        <v>0</v>
      </c>
      <c r="AB105" s="185" t="s">
        <v>54</v>
      </c>
    </row>
    <row r="106" spans="1:37" s="7" customFormat="1" ht="20.100000000000001" customHeight="1">
      <c r="A106" s="287" t="s">
        <v>117</v>
      </c>
      <c r="B106" s="8" t="s">
        <v>143</v>
      </c>
      <c r="C106" s="31">
        <v>50</v>
      </c>
      <c r="D106" s="32">
        <v>5</v>
      </c>
      <c r="E106" s="54">
        <v>6</v>
      </c>
      <c r="F106" s="54">
        <v>4</v>
      </c>
      <c r="G106" s="157">
        <f t="shared" si="5"/>
        <v>0.66666666666666663</v>
      </c>
      <c r="H106" s="173">
        <v>5</v>
      </c>
      <c r="I106" s="176" t="s">
        <v>191</v>
      </c>
      <c r="J106" s="97">
        <v>0</v>
      </c>
      <c r="K106" s="33">
        <v>5</v>
      </c>
      <c r="L106" s="55">
        <v>6</v>
      </c>
      <c r="M106" s="55">
        <v>5</v>
      </c>
      <c r="N106" s="213">
        <f t="shared" si="6"/>
        <v>0.83333333333333337</v>
      </c>
      <c r="O106" s="226">
        <v>5</v>
      </c>
      <c r="P106" s="232" t="s">
        <v>192</v>
      </c>
      <c r="Q106" s="110" t="s">
        <v>51</v>
      </c>
      <c r="R106" s="34" t="s">
        <v>51</v>
      </c>
      <c r="S106" s="34" t="s">
        <v>51</v>
      </c>
      <c r="T106" s="31" t="s">
        <v>54</v>
      </c>
      <c r="U106" s="180" t="s">
        <v>51</v>
      </c>
      <c r="V106" s="257" t="s">
        <v>51</v>
      </c>
      <c r="W106" s="110" t="s">
        <v>51</v>
      </c>
      <c r="X106" s="34" t="s">
        <v>51</v>
      </c>
      <c r="Y106" s="34" t="s">
        <v>51</v>
      </c>
      <c r="Z106" s="160" t="s">
        <v>51</v>
      </c>
      <c r="AA106" s="180" t="s">
        <v>51</v>
      </c>
      <c r="AB106" s="257" t="s">
        <v>51</v>
      </c>
    </row>
    <row r="107" spans="1:37" s="7" customFormat="1" ht="20.100000000000001" customHeight="1">
      <c r="A107" s="287"/>
      <c r="B107" s="8" t="s">
        <v>144</v>
      </c>
      <c r="C107" s="31">
        <v>50</v>
      </c>
      <c r="D107" s="32">
        <v>10</v>
      </c>
      <c r="E107" s="54">
        <v>39</v>
      </c>
      <c r="F107" s="54">
        <v>10</v>
      </c>
      <c r="G107" s="157">
        <f t="shared" si="5"/>
        <v>0.25641025641025639</v>
      </c>
      <c r="H107" s="173">
        <v>10</v>
      </c>
      <c r="I107" s="176" t="s">
        <v>193</v>
      </c>
      <c r="J107" s="97">
        <v>0</v>
      </c>
      <c r="K107" s="33">
        <v>5</v>
      </c>
      <c r="L107" s="55">
        <v>5</v>
      </c>
      <c r="M107" s="55">
        <v>4</v>
      </c>
      <c r="N107" s="213">
        <f t="shared" si="6"/>
        <v>0.8</v>
      </c>
      <c r="O107" s="226">
        <v>5</v>
      </c>
      <c r="P107" s="232" t="s">
        <v>193</v>
      </c>
      <c r="Q107" s="110" t="s">
        <v>51</v>
      </c>
      <c r="R107" s="34" t="s">
        <v>51</v>
      </c>
      <c r="S107" s="34" t="s">
        <v>51</v>
      </c>
      <c r="T107" s="31" t="s">
        <v>54</v>
      </c>
      <c r="U107" s="180" t="s">
        <v>51</v>
      </c>
      <c r="V107" s="257" t="s">
        <v>51</v>
      </c>
      <c r="W107" s="110" t="s">
        <v>51</v>
      </c>
      <c r="X107" s="34" t="s">
        <v>51</v>
      </c>
      <c r="Y107" s="34" t="s">
        <v>51</v>
      </c>
      <c r="Z107" s="160" t="s">
        <v>51</v>
      </c>
      <c r="AA107" s="180" t="s">
        <v>51</v>
      </c>
      <c r="AB107" s="257" t="s">
        <v>51</v>
      </c>
    </row>
    <row r="108" spans="1:37" s="7" customFormat="1" ht="20.100000000000001" customHeight="1">
      <c r="A108" s="287"/>
      <c r="B108" s="8" t="s">
        <v>145</v>
      </c>
      <c r="C108" s="31">
        <v>40</v>
      </c>
      <c r="D108" s="32">
        <v>12</v>
      </c>
      <c r="E108" s="54" t="s">
        <v>54</v>
      </c>
      <c r="F108" s="54" t="s">
        <v>54</v>
      </c>
      <c r="G108" s="157" t="str">
        <f t="shared" si="5"/>
        <v/>
      </c>
      <c r="H108" s="173">
        <v>12</v>
      </c>
      <c r="I108" s="176" t="s">
        <v>179</v>
      </c>
      <c r="J108" s="97">
        <v>0</v>
      </c>
      <c r="K108" s="33">
        <v>12</v>
      </c>
      <c r="L108" s="55" t="s">
        <v>54</v>
      </c>
      <c r="M108" s="55" t="s">
        <v>54</v>
      </c>
      <c r="N108" s="213" t="str">
        <f t="shared" si="6"/>
        <v/>
      </c>
      <c r="O108" s="226">
        <v>12</v>
      </c>
      <c r="P108" s="232" t="s">
        <v>118</v>
      </c>
      <c r="Q108" s="110" t="s">
        <v>51</v>
      </c>
      <c r="R108" s="34" t="s">
        <v>51</v>
      </c>
      <c r="S108" s="34" t="s">
        <v>51</v>
      </c>
      <c r="T108" s="31" t="s">
        <v>54</v>
      </c>
      <c r="U108" s="180" t="s">
        <v>51</v>
      </c>
      <c r="V108" s="257" t="s">
        <v>51</v>
      </c>
      <c r="W108" s="110" t="s">
        <v>51</v>
      </c>
      <c r="X108" s="34" t="s">
        <v>51</v>
      </c>
      <c r="Y108" s="34" t="s">
        <v>51</v>
      </c>
      <c r="Z108" s="160" t="s">
        <v>51</v>
      </c>
      <c r="AA108" s="180" t="s">
        <v>51</v>
      </c>
      <c r="AB108" s="257" t="s">
        <v>51</v>
      </c>
    </row>
    <row r="109" spans="1:37" s="7" customFormat="1" ht="20.100000000000001" customHeight="1">
      <c r="A109" s="287"/>
      <c r="B109" s="8" t="s">
        <v>146</v>
      </c>
      <c r="C109" s="31">
        <v>40</v>
      </c>
      <c r="D109" s="32">
        <v>12</v>
      </c>
      <c r="E109" s="54">
        <v>16</v>
      </c>
      <c r="F109" s="54">
        <v>9</v>
      </c>
      <c r="G109" s="157">
        <f t="shared" si="5"/>
        <v>0.5625</v>
      </c>
      <c r="H109" s="173">
        <v>12</v>
      </c>
      <c r="I109" s="176" t="s">
        <v>177</v>
      </c>
      <c r="J109" s="97">
        <v>0</v>
      </c>
      <c r="K109" s="33">
        <v>2</v>
      </c>
      <c r="L109" s="55">
        <v>10</v>
      </c>
      <c r="M109" s="55">
        <v>2</v>
      </c>
      <c r="N109" s="213">
        <f t="shared" si="6"/>
        <v>0.2</v>
      </c>
      <c r="O109" s="226">
        <v>2</v>
      </c>
      <c r="P109" s="232" t="s">
        <v>111</v>
      </c>
      <c r="Q109" s="110" t="s">
        <v>51</v>
      </c>
      <c r="R109" s="34" t="s">
        <v>51</v>
      </c>
      <c r="S109" s="34" t="s">
        <v>51</v>
      </c>
      <c r="T109" s="31" t="s">
        <v>54</v>
      </c>
      <c r="U109" s="180" t="s">
        <v>51</v>
      </c>
      <c r="V109" s="257" t="s">
        <v>51</v>
      </c>
      <c r="W109" s="110" t="s">
        <v>51</v>
      </c>
      <c r="X109" s="34" t="s">
        <v>51</v>
      </c>
      <c r="Y109" s="34" t="s">
        <v>51</v>
      </c>
      <c r="Z109" s="160" t="s">
        <v>51</v>
      </c>
      <c r="AA109" s="180" t="s">
        <v>51</v>
      </c>
      <c r="AB109" s="257" t="s">
        <v>51</v>
      </c>
    </row>
    <row r="110" spans="1:37" s="7" customFormat="1" ht="20.100000000000001" customHeight="1">
      <c r="A110" s="287"/>
      <c r="B110" s="8" t="s">
        <v>147</v>
      </c>
      <c r="C110" s="31">
        <v>160</v>
      </c>
      <c r="D110" s="32">
        <v>16</v>
      </c>
      <c r="E110" s="54">
        <v>54</v>
      </c>
      <c r="F110" s="54">
        <v>16</v>
      </c>
      <c r="G110" s="157">
        <f t="shared" si="5"/>
        <v>0.29629629629629628</v>
      </c>
      <c r="H110" s="173">
        <v>16</v>
      </c>
      <c r="I110" s="176" t="s">
        <v>98</v>
      </c>
      <c r="J110" s="97">
        <v>0</v>
      </c>
      <c r="K110" s="33">
        <v>4</v>
      </c>
      <c r="L110" s="55">
        <v>17</v>
      </c>
      <c r="M110" s="55">
        <v>4</v>
      </c>
      <c r="N110" s="213">
        <f t="shared" si="6"/>
        <v>0.23529411764705882</v>
      </c>
      <c r="O110" s="226">
        <v>4</v>
      </c>
      <c r="P110" s="232" t="s">
        <v>98</v>
      </c>
      <c r="Q110" s="110" t="s">
        <v>51</v>
      </c>
      <c r="R110" s="34" t="s">
        <v>51</v>
      </c>
      <c r="S110" s="34" t="s">
        <v>51</v>
      </c>
      <c r="T110" s="31" t="s">
        <v>54</v>
      </c>
      <c r="U110" s="180" t="s">
        <v>51</v>
      </c>
      <c r="V110" s="257" t="s">
        <v>51</v>
      </c>
      <c r="W110" s="110" t="s">
        <v>51</v>
      </c>
      <c r="X110" s="34" t="s">
        <v>51</v>
      </c>
      <c r="Y110" s="34" t="s">
        <v>51</v>
      </c>
      <c r="Z110" s="160" t="s">
        <v>51</v>
      </c>
      <c r="AA110" s="180" t="s">
        <v>51</v>
      </c>
      <c r="AB110" s="257" t="s">
        <v>51</v>
      </c>
    </row>
    <row r="111" spans="1:37" ht="20.100000000000001" customHeight="1">
      <c r="A111" s="287"/>
      <c r="B111" s="93" t="s">
        <v>148</v>
      </c>
      <c r="C111" s="31" t="s">
        <v>54</v>
      </c>
      <c r="D111" s="31" t="s">
        <v>51</v>
      </c>
      <c r="E111" s="31" t="s">
        <v>51</v>
      </c>
      <c r="F111" s="31" t="s">
        <v>51</v>
      </c>
      <c r="G111" s="31" t="s">
        <v>54</v>
      </c>
      <c r="H111" s="177" t="s">
        <v>51</v>
      </c>
      <c r="I111" s="178" t="s">
        <v>51</v>
      </c>
      <c r="J111" s="98" t="s">
        <v>51</v>
      </c>
      <c r="K111" s="31" t="s">
        <v>51</v>
      </c>
      <c r="L111" s="31" t="s">
        <v>51</v>
      </c>
      <c r="M111" s="31" t="s">
        <v>51</v>
      </c>
      <c r="N111" s="31" t="s">
        <v>54</v>
      </c>
      <c r="O111" s="177" t="s">
        <v>51</v>
      </c>
      <c r="P111" s="178" t="s">
        <v>51</v>
      </c>
      <c r="Q111" s="111">
        <v>60</v>
      </c>
      <c r="R111" s="85">
        <v>28</v>
      </c>
      <c r="S111" s="85">
        <v>27</v>
      </c>
      <c r="T111" s="250">
        <f t="shared" si="4"/>
        <v>0.9642857142857143</v>
      </c>
      <c r="U111" s="256">
        <v>60</v>
      </c>
      <c r="V111" s="258" t="s">
        <v>180</v>
      </c>
      <c r="W111" s="110" t="s">
        <v>51</v>
      </c>
      <c r="X111" s="34" t="s">
        <v>51</v>
      </c>
      <c r="Y111" s="34" t="s">
        <v>51</v>
      </c>
      <c r="Z111" s="160" t="s">
        <v>51</v>
      </c>
      <c r="AA111" s="180" t="s">
        <v>51</v>
      </c>
      <c r="AB111" s="257" t="s">
        <v>51</v>
      </c>
      <c r="AC111" s="30"/>
      <c r="AD111" s="30"/>
      <c r="AE111" s="30"/>
      <c r="AF111" s="30"/>
      <c r="AG111" s="30"/>
      <c r="AH111" s="30"/>
      <c r="AI111" s="30"/>
      <c r="AJ111" s="30"/>
      <c r="AK111" s="30"/>
    </row>
    <row r="112" spans="1:37" s="7" customFormat="1" ht="20.100000000000001" customHeight="1">
      <c r="A112" s="287"/>
      <c r="B112" s="10" t="s">
        <v>79</v>
      </c>
      <c r="C112" s="38">
        <f>SUM(C106:C111)</f>
        <v>340</v>
      </c>
      <c r="D112" s="38">
        <f>SUM(D106:D111)</f>
        <v>55</v>
      </c>
      <c r="E112" s="38">
        <f>SUM(E106:E111)</f>
        <v>115</v>
      </c>
      <c r="F112" s="38">
        <f>SUM(F106:F111)</f>
        <v>39</v>
      </c>
      <c r="G112" s="161">
        <f t="shared" si="5"/>
        <v>0.33913043478260868</v>
      </c>
      <c r="H112" s="184">
        <f>SUM(H106:H111)</f>
        <v>55</v>
      </c>
      <c r="I112" s="185" t="s">
        <v>54</v>
      </c>
      <c r="J112" s="99">
        <f>IFERROR(F112/C112,"")</f>
        <v>0.11470588235294117</v>
      </c>
      <c r="K112" s="38">
        <f>SUM(K106:K111)</f>
        <v>28</v>
      </c>
      <c r="L112" s="38">
        <f>SUM(L106:L111)</f>
        <v>38</v>
      </c>
      <c r="M112" s="38">
        <f>SUM(M106:M111)</f>
        <v>15</v>
      </c>
      <c r="N112" s="161">
        <f t="shared" si="6"/>
        <v>0.39473684210526316</v>
      </c>
      <c r="O112" s="184">
        <f>SUM(O106:O111)</f>
        <v>28</v>
      </c>
      <c r="P112" s="185" t="s">
        <v>51</v>
      </c>
      <c r="Q112" s="112">
        <f>SUM(Q106:Q111)</f>
        <v>60</v>
      </c>
      <c r="R112" s="38">
        <f>SUM(R106:R111)</f>
        <v>28</v>
      </c>
      <c r="S112" s="38">
        <f>SUM(S106:S111)</f>
        <v>27</v>
      </c>
      <c r="T112" s="161">
        <f t="shared" si="4"/>
        <v>0.9642857142857143</v>
      </c>
      <c r="U112" s="184">
        <f>SUM(U106:U111)</f>
        <v>60</v>
      </c>
      <c r="V112" s="185" t="s">
        <v>54</v>
      </c>
      <c r="W112" s="112" t="s">
        <v>54</v>
      </c>
      <c r="X112" s="38">
        <f>SUM(X106:X111)</f>
        <v>0</v>
      </c>
      <c r="Y112" s="38">
        <f>SUM(Y106:Y111)</f>
        <v>0</v>
      </c>
      <c r="Z112" s="161" t="str">
        <f>IFERROR(Y112/X112,"")</f>
        <v/>
      </c>
      <c r="AA112" s="184">
        <f>SUM(AA106:AA111)</f>
        <v>0</v>
      </c>
      <c r="AB112" s="185" t="s">
        <v>54</v>
      </c>
    </row>
    <row r="113" spans="1:37" ht="20.100000000000001" customHeight="1">
      <c r="A113" s="283" t="s">
        <v>119</v>
      </c>
      <c r="B113" s="8" t="s">
        <v>149</v>
      </c>
      <c r="C113" s="31">
        <v>1</v>
      </c>
      <c r="D113" s="60">
        <v>15</v>
      </c>
      <c r="E113" s="58">
        <v>1</v>
      </c>
      <c r="F113" s="58">
        <v>1</v>
      </c>
      <c r="G113" s="168">
        <f t="shared" si="5"/>
        <v>1</v>
      </c>
      <c r="H113" s="208">
        <v>15</v>
      </c>
      <c r="I113" s="209" t="s">
        <v>120</v>
      </c>
      <c r="J113" s="107">
        <v>0</v>
      </c>
      <c r="K113" s="36">
        <v>5</v>
      </c>
      <c r="L113" s="59" t="s">
        <v>54</v>
      </c>
      <c r="M113" s="59" t="s">
        <v>54</v>
      </c>
      <c r="N113" s="214" t="str">
        <f t="shared" si="6"/>
        <v/>
      </c>
      <c r="O113" s="228">
        <v>5</v>
      </c>
      <c r="P113" s="239" t="s">
        <v>120</v>
      </c>
      <c r="Q113" s="110" t="s">
        <v>51</v>
      </c>
      <c r="R113" s="34" t="s">
        <v>51</v>
      </c>
      <c r="S113" s="34" t="s">
        <v>51</v>
      </c>
      <c r="T113" s="31" t="s">
        <v>54</v>
      </c>
      <c r="U113" s="180" t="s">
        <v>51</v>
      </c>
      <c r="V113" s="257" t="s">
        <v>51</v>
      </c>
      <c r="W113" s="110" t="s">
        <v>51</v>
      </c>
      <c r="X113" s="34" t="s">
        <v>51</v>
      </c>
      <c r="Y113" s="34" t="s">
        <v>51</v>
      </c>
      <c r="Z113" s="160" t="s">
        <v>51</v>
      </c>
      <c r="AA113" s="180" t="s">
        <v>51</v>
      </c>
      <c r="AB113" s="257" t="s">
        <v>51</v>
      </c>
      <c r="AC113" s="30"/>
      <c r="AD113" s="30"/>
      <c r="AE113" s="30"/>
      <c r="AF113" s="30"/>
      <c r="AG113" s="30"/>
      <c r="AH113" s="30"/>
      <c r="AI113" s="30"/>
      <c r="AJ113" s="30"/>
      <c r="AK113" s="30"/>
    </row>
    <row r="114" spans="1:37" ht="20.100000000000001" customHeight="1">
      <c r="A114" s="283"/>
      <c r="B114" s="8" t="s">
        <v>150</v>
      </c>
      <c r="C114" s="31">
        <v>1</v>
      </c>
      <c r="D114" s="60">
        <v>10</v>
      </c>
      <c r="E114" s="58">
        <v>1</v>
      </c>
      <c r="F114" s="58">
        <v>1</v>
      </c>
      <c r="G114" s="168">
        <f t="shared" si="5"/>
        <v>1</v>
      </c>
      <c r="H114" s="208">
        <v>10</v>
      </c>
      <c r="I114" s="209" t="s">
        <v>120</v>
      </c>
      <c r="J114" s="107">
        <v>0</v>
      </c>
      <c r="K114" s="36">
        <v>10</v>
      </c>
      <c r="L114" s="78" t="s">
        <v>54</v>
      </c>
      <c r="M114" s="59" t="s">
        <v>54</v>
      </c>
      <c r="N114" s="214" t="str">
        <f t="shared" si="6"/>
        <v/>
      </c>
      <c r="O114" s="228">
        <v>10</v>
      </c>
      <c r="P114" s="239" t="s">
        <v>120</v>
      </c>
      <c r="Q114" s="110" t="s">
        <v>51</v>
      </c>
      <c r="R114" s="34" t="s">
        <v>51</v>
      </c>
      <c r="S114" s="34" t="s">
        <v>51</v>
      </c>
      <c r="T114" s="31" t="s">
        <v>54</v>
      </c>
      <c r="U114" s="180" t="s">
        <v>51</v>
      </c>
      <c r="V114" s="257" t="s">
        <v>51</v>
      </c>
      <c r="W114" s="110" t="s">
        <v>51</v>
      </c>
      <c r="X114" s="34" t="s">
        <v>51</v>
      </c>
      <c r="Y114" s="34" t="s">
        <v>51</v>
      </c>
      <c r="Z114" s="160" t="s">
        <v>51</v>
      </c>
      <c r="AA114" s="180" t="s">
        <v>51</v>
      </c>
      <c r="AB114" s="280" t="s">
        <v>51</v>
      </c>
      <c r="AC114" s="30"/>
      <c r="AD114" s="30"/>
      <c r="AE114" s="30"/>
      <c r="AF114" s="30"/>
      <c r="AG114" s="30"/>
      <c r="AH114" s="30"/>
      <c r="AI114" s="30"/>
      <c r="AJ114" s="30"/>
      <c r="AK114" s="30"/>
    </row>
    <row r="115" spans="1:37" ht="20.100000000000001" customHeight="1">
      <c r="A115" s="283"/>
      <c r="B115" s="8" t="s">
        <v>151</v>
      </c>
      <c r="C115" s="31">
        <v>1</v>
      </c>
      <c r="D115" s="60">
        <v>1</v>
      </c>
      <c r="E115" s="58">
        <v>0</v>
      </c>
      <c r="F115" s="58">
        <v>0</v>
      </c>
      <c r="G115" s="168" t="str">
        <f t="shared" si="5"/>
        <v/>
      </c>
      <c r="H115" s="208">
        <v>1</v>
      </c>
      <c r="I115" s="209" t="s">
        <v>120</v>
      </c>
      <c r="J115" s="107">
        <v>0</v>
      </c>
      <c r="K115" s="36">
        <v>2</v>
      </c>
      <c r="L115" s="59" t="s">
        <v>54</v>
      </c>
      <c r="M115" s="59" t="s">
        <v>54</v>
      </c>
      <c r="N115" s="214" t="str">
        <f t="shared" si="6"/>
        <v/>
      </c>
      <c r="O115" s="228">
        <v>2</v>
      </c>
      <c r="P115" s="239" t="s">
        <v>120</v>
      </c>
      <c r="Q115" s="110" t="s">
        <v>51</v>
      </c>
      <c r="R115" s="34" t="s">
        <v>51</v>
      </c>
      <c r="S115" s="34" t="s">
        <v>51</v>
      </c>
      <c r="T115" s="31" t="s">
        <v>54</v>
      </c>
      <c r="U115" s="180" t="s">
        <v>51</v>
      </c>
      <c r="V115" s="257" t="s">
        <v>51</v>
      </c>
      <c r="W115" s="110" t="s">
        <v>51</v>
      </c>
      <c r="X115" s="34" t="s">
        <v>51</v>
      </c>
      <c r="Y115" s="34" t="s">
        <v>51</v>
      </c>
      <c r="Z115" s="160" t="s">
        <v>51</v>
      </c>
      <c r="AA115" s="180" t="s">
        <v>51</v>
      </c>
      <c r="AB115" s="280" t="s">
        <v>51</v>
      </c>
      <c r="AC115" s="30"/>
      <c r="AD115" s="30"/>
      <c r="AE115" s="30"/>
      <c r="AF115" s="30"/>
      <c r="AG115" s="30"/>
      <c r="AH115" s="30"/>
      <c r="AI115" s="30"/>
      <c r="AJ115" s="30"/>
      <c r="AK115" s="30"/>
    </row>
    <row r="116" spans="1:37" s="7" customFormat="1" ht="20.100000000000001" customHeight="1">
      <c r="A116" s="283"/>
      <c r="B116" s="10" t="s">
        <v>79</v>
      </c>
      <c r="C116" s="38">
        <f>SUM(C113:C115)</f>
        <v>3</v>
      </c>
      <c r="D116" s="38">
        <f>SUM(D113:D115)</f>
        <v>26</v>
      </c>
      <c r="E116" s="38">
        <f>SUM(E113:E115)</f>
        <v>2</v>
      </c>
      <c r="F116" s="38">
        <f>SUM(F113:F115)</f>
        <v>2</v>
      </c>
      <c r="G116" s="161">
        <f t="shared" si="5"/>
        <v>1</v>
      </c>
      <c r="H116" s="184">
        <f>SUM(H113:H115)</f>
        <v>26</v>
      </c>
      <c r="I116" s="185" t="s">
        <v>54</v>
      </c>
      <c r="J116" s="108">
        <f>IFERROR(F116/C116,"")</f>
        <v>0.66666666666666663</v>
      </c>
      <c r="K116" s="38">
        <f>SUM(K113:K115)</f>
        <v>17</v>
      </c>
      <c r="L116" s="38">
        <f>SUM(L113:L115)</f>
        <v>0</v>
      </c>
      <c r="M116" s="38">
        <f>SUM(M113:M115)</f>
        <v>0</v>
      </c>
      <c r="N116" s="161" t="str">
        <f t="shared" si="6"/>
        <v/>
      </c>
      <c r="O116" s="184">
        <f>SUM(O113:O115)</f>
        <v>17</v>
      </c>
      <c r="P116" s="185" t="s">
        <v>54</v>
      </c>
      <c r="Q116" s="112">
        <f>SUM(Q113:Q115)</f>
        <v>0</v>
      </c>
      <c r="R116" s="38">
        <f>SUM(R113:R115)</f>
        <v>0</v>
      </c>
      <c r="S116" s="38">
        <f>SUM(S113:S115)</f>
        <v>0</v>
      </c>
      <c r="T116" s="161" t="str">
        <f t="shared" si="4"/>
        <v/>
      </c>
      <c r="U116" s="184">
        <f>SUM(U113:U115)</f>
        <v>0</v>
      </c>
      <c r="V116" s="185" t="s">
        <v>54</v>
      </c>
      <c r="W116" s="112">
        <f>SUM(W113:W115)</f>
        <v>0</v>
      </c>
      <c r="X116" s="38">
        <f>SUM(X113:X115)</f>
        <v>0</v>
      </c>
      <c r="Y116" s="38">
        <f>SUM(Y113:Y115)</f>
        <v>0</v>
      </c>
      <c r="Z116" s="161" t="str">
        <f>IFERROR(Y116/X116,"")</f>
        <v/>
      </c>
      <c r="AA116" s="184">
        <f>SUM(AA113:AA115)</f>
        <v>0</v>
      </c>
      <c r="AB116" s="185" t="s">
        <v>54</v>
      </c>
    </row>
    <row r="117" spans="1:37" s="7" customFormat="1" ht="20.100000000000001" customHeight="1">
      <c r="A117" s="283" t="s">
        <v>181</v>
      </c>
      <c r="B117" s="8" t="s">
        <v>25</v>
      </c>
      <c r="C117" s="31">
        <v>47</v>
      </c>
      <c r="D117" s="32">
        <v>10</v>
      </c>
      <c r="E117" s="54">
        <v>13</v>
      </c>
      <c r="F117" s="54">
        <v>12</v>
      </c>
      <c r="G117" s="157">
        <f t="shared" si="5"/>
        <v>0.92307692307692313</v>
      </c>
      <c r="H117" s="173">
        <v>3</v>
      </c>
      <c r="I117" s="176" t="s">
        <v>182</v>
      </c>
      <c r="J117" s="97">
        <f>IFERROR(F117/C117,"")</f>
        <v>0.25531914893617019</v>
      </c>
      <c r="K117" s="33">
        <v>10</v>
      </c>
      <c r="L117" s="55">
        <v>7</v>
      </c>
      <c r="M117" s="55">
        <v>5</v>
      </c>
      <c r="N117" s="213">
        <f t="shared" si="6"/>
        <v>0.7142857142857143</v>
      </c>
      <c r="O117" s="226">
        <v>3</v>
      </c>
      <c r="P117" s="237" t="s">
        <v>182</v>
      </c>
      <c r="Q117" s="110" t="s">
        <v>54</v>
      </c>
      <c r="R117" s="34" t="s">
        <v>54</v>
      </c>
      <c r="S117" s="34" t="s">
        <v>54</v>
      </c>
      <c r="T117" s="31" t="s">
        <v>54</v>
      </c>
      <c r="U117" s="180" t="s">
        <v>54</v>
      </c>
      <c r="V117" s="257" t="s">
        <v>54</v>
      </c>
      <c r="W117" s="110" t="s">
        <v>54</v>
      </c>
      <c r="X117" s="34" t="s">
        <v>54</v>
      </c>
      <c r="Y117" s="34" t="s">
        <v>54</v>
      </c>
      <c r="Z117" s="160" t="s">
        <v>54</v>
      </c>
      <c r="AA117" s="180" t="s">
        <v>54</v>
      </c>
      <c r="AB117" s="257" t="s">
        <v>54</v>
      </c>
    </row>
    <row r="118" spans="1:37" s="7" customFormat="1" ht="20.100000000000001" customHeight="1">
      <c r="A118" s="283"/>
      <c r="B118" s="11" t="s">
        <v>26</v>
      </c>
      <c r="C118" s="39">
        <v>37</v>
      </c>
      <c r="D118" s="80">
        <v>5</v>
      </c>
      <c r="E118" s="67">
        <v>1</v>
      </c>
      <c r="F118" s="67">
        <v>1</v>
      </c>
      <c r="G118" s="162">
        <f t="shared" si="5"/>
        <v>1</v>
      </c>
      <c r="H118" s="186">
        <v>5</v>
      </c>
      <c r="I118" s="187" t="s">
        <v>86</v>
      </c>
      <c r="J118" s="100">
        <f>IFERROR(F118/C118,"")</f>
        <v>2.7027027027027029E-2</v>
      </c>
      <c r="K118" s="143">
        <v>5</v>
      </c>
      <c r="L118" s="144">
        <v>2</v>
      </c>
      <c r="M118" s="144">
        <v>2</v>
      </c>
      <c r="N118" s="221">
        <f t="shared" si="6"/>
        <v>1</v>
      </c>
      <c r="O118" s="236">
        <v>5</v>
      </c>
      <c r="P118" s="246" t="s">
        <v>86</v>
      </c>
      <c r="Q118" s="113" t="s">
        <v>51</v>
      </c>
      <c r="R118" s="79" t="s">
        <v>51</v>
      </c>
      <c r="S118" s="79" t="s">
        <v>51</v>
      </c>
      <c r="T118" s="31" t="s">
        <v>54</v>
      </c>
      <c r="U118" s="260" t="s">
        <v>51</v>
      </c>
      <c r="V118" s="261" t="s">
        <v>51</v>
      </c>
      <c r="W118" s="113" t="s">
        <v>51</v>
      </c>
      <c r="X118" s="79" t="s">
        <v>51</v>
      </c>
      <c r="Y118" s="79" t="s">
        <v>51</v>
      </c>
      <c r="Z118" s="249" t="s">
        <v>51</v>
      </c>
      <c r="AA118" s="260" t="s">
        <v>51</v>
      </c>
      <c r="AB118" s="261" t="s">
        <v>51</v>
      </c>
    </row>
    <row r="119" spans="1:37" s="7" customFormat="1" ht="20.100000000000001" customHeight="1">
      <c r="A119" s="283"/>
      <c r="B119" s="89" t="s">
        <v>87</v>
      </c>
      <c r="C119" s="39" t="s">
        <v>51</v>
      </c>
      <c r="D119" s="68" t="s">
        <v>51</v>
      </c>
      <c r="E119" s="68" t="s">
        <v>51</v>
      </c>
      <c r="F119" s="68" t="s">
        <v>51</v>
      </c>
      <c r="G119" s="31" t="s">
        <v>54</v>
      </c>
      <c r="H119" s="189" t="s">
        <v>51</v>
      </c>
      <c r="I119" s="190" t="s">
        <v>51</v>
      </c>
      <c r="J119" s="101" t="s">
        <v>51</v>
      </c>
      <c r="K119" s="68" t="s">
        <v>51</v>
      </c>
      <c r="L119" s="68" t="s">
        <v>51</v>
      </c>
      <c r="M119" s="68" t="s">
        <v>51</v>
      </c>
      <c r="N119" s="31" t="s">
        <v>54</v>
      </c>
      <c r="O119" s="189" t="s">
        <v>51</v>
      </c>
      <c r="P119" s="190" t="s">
        <v>51</v>
      </c>
      <c r="Q119" s="114">
        <v>5</v>
      </c>
      <c r="R119" s="88">
        <v>3</v>
      </c>
      <c r="S119" s="88">
        <v>3</v>
      </c>
      <c r="T119" s="250">
        <f t="shared" si="4"/>
        <v>1</v>
      </c>
      <c r="U119" s="262">
        <v>5</v>
      </c>
      <c r="V119" s="264" t="s">
        <v>86</v>
      </c>
      <c r="W119" s="113" t="s">
        <v>51</v>
      </c>
      <c r="X119" s="79" t="s">
        <v>51</v>
      </c>
      <c r="Y119" s="79" t="s">
        <v>51</v>
      </c>
      <c r="Z119" s="249" t="s">
        <v>51</v>
      </c>
      <c r="AA119" s="260" t="s">
        <v>51</v>
      </c>
      <c r="AB119" s="261" t="s">
        <v>51</v>
      </c>
    </row>
    <row r="120" spans="1:37" s="7" customFormat="1" ht="20.100000000000001" customHeight="1">
      <c r="A120" s="283"/>
      <c r="B120" s="89" t="s">
        <v>88</v>
      </c>
      <c r="C120" s="39" t="s">
        <v>51</v>
      </c>
      <c r="D120" s="68" t="s">
        <v>51</v>
      </c>
      <c r="E120" s="68" t="s">
        <v>51</v>
      </c>
      <c r="F120" s="68" t="s">
        <v>51</v>
      </c>
      <c r="G120" s="31" t="s">
        <v>54</v>
      </c>
      <c r="H120" s="189" t="s">
        <v>51</v>
      </c>
      <c r="I120" s="190" t="s">
        <v>51</v>
      </c>
      <c r="J120" s="101" t="s">
        <v>51</v>
      </c>
      <c r="K120" s="68" t="s">
        <v>51</v>
      </c>
      <c r="L120" s="68" t="s">
        <v>51</v>
      </c>
      <c r="M120" s="68" t="s">
        <v>51</v>
      </c>
      <c r="N120" s="31" t="s">
        <v>54</v>
      </c>
      <c r="O120" s="189" t="s">
        <v>51</v>
      </c>
      <c r="P120" s="190" t="s">
        <v>51</v>
      </c>
      <c r="Q120" s="114">
        <v>5</v>
      </c>
      <c r="R120" s="88">
        <v>0</v>
      </c>
      <c r="S120" s="88">
        <v>0</v>
      </c>
      <c r="T120" s="250" t="str">
        <f t="shared" si="4"/>
        <v/>
      </c>
      <c r="U120" s="262">
        <v>5</v>
      </c>
      <c r="V120" s="264" t="s">
        <v>86</v>
      </c>
      <c r="W120" s="113" t="s">
        <v>51</v>
      </c>
      <c r="X120" s="79" t="s">
        <v>51</v>
      </c>
      <c r="Y120" s="79" t="s">
        <v>51</v>
      </c>
      <c r="Z120" s="249" t="s">
        <v>51</v>
      </c>
      <c r="AA120" s="260" t="s">
        <v>51</v>
      </c>
      <c r="AB120" s="261" t="s">
        <v>51</v>
      </c>
    </row>
    <row r="121" spans="1:37" s="7" customFormat="1" ht="20.100000000000001" customHeight="1">
      <c r="A121" s="283"/>
      <c r="B121" s="10" t="s">
        <v>79</v>
      </c>
      <c r="C121" s="38">
        <f>SUM(C117:C120)</f>
        <v>84</v>
      </c>
      <c r="D121" s="38">
        <f>SUM(D117:D120)</f>
        <v>15</v>
      </c>
      <c r="E121" s="38">
        <f>SUM(E117:E120)</f>
        <v>14</v>
      </c>
      <c r="F121" s="38">
        <f>SUM(F117:F120)</f>
        <v>13</v>
      </c>
      <c r="G121" s="161">
        <f t="shared" si="5"/>
        <v>0.9285714285714286</v>
      </c>
      <c r="H121" s="184">
        <f>SUM(H117:H120)</f>
        <v>8</v>
      </c>
      <c r="I121" s="185" t="s">
        <v>54</v>
      </c>
      <c r="J121" s="108">
        <f>IFERROR(F121/C121,"")</f>
        <v>0.15476190476190477</v>
      </c>
      <c r="K121" s="38">
        <f>SUM(K117:K120)</f>
        <v>15</v>
      </c>
      <c r="L121" s="38">
        <f>SUM(L117:L120)</f>
        <v>9</v>
      </c>
      <c r="M121" s="38">
        <f>SUM(M117:M120)</f>
        <v>7</v>
      </c>
      <c r="N121" s="161">
        <f t="shared" si="6"/>
        <v>0.77777777777777779</v>
      </c>
      <c r="O121" s="184">
        <f>SUM(O117:O120)</f>
        <v>8</v>
      </c>
      <c r="P121" s="185" t="s">
        <v>54</v>
      </c>
      <c r="Q121" s="112">
        <f>SUM(Q117:Q120)</f>
        <v>10</v>
      </c>
      <c r="R121" s="38">
        <f>SUM(R117:R120)</f>
        <v>3</v>
      </c>
      <c r="S121" s="38">
        <f>SUM(S117:S120)</f>
        <v>3</v>
      </c>
      <c r="T121" s="161">
        <f t="shared" si="4"/>
        <v>1</v>
      </c>
      <c r="U121" s="184">
        <f>SUM(U117:U120)</f>
        <v>10</v>
      </c>
      <c r="V121" s="185" t="s">
        <v>54</v>
      </c>
      <c r="W121" s="112">
        <f>SUM(W117:W120)</f>
        <v>0</v>
      </c>
      <c r="X121" s="38">
        <f>SUM(X117:X120)</f>
        <v>0</v>
      </c>
      <c r="Y121" s="38">
        <f>SUM(Y117:Y120)</f>
        <v>0</v>
      </c>
      <c r="Z121" s="161" t="str">
        <f>IFERROR(Y121/X121,"")</f>
        <v/>
      </c>
      <c r="AA121" s="184">
        <f>SUM(AA117:AA120)</f>
        <v>0</v>
      </c>
      <c r="AB121" s="185" t="s">
        <v>54</v>
      </c>
    </row>
    <row r="122" spans="1:37" ht="20.100000000000001" customHeight="1">
      <c r="A122" s="286" t="s">
        <v>121</v>
      </c>
      <c r="B122" s="93" t="s">
        <v>122</v>
      </c>
      <c r="C122" s="31" t="s">
        <v>54</v>
      </c>
      <c r="D122" s="31" t="s">
        <v>51</v>
      </c>
      <c r="E122" s="31" t="s">
        <v>51</v>
      </c>
      <c r="F122" s="31" t="s">
        <v>51</v>
      </c>
      <c r="G122" s="31" t="s">
        <v>54</v>
      </c>
      <c r="H122" s="177" t="s">
        <v>51</v>
      </c>
      <c r="I122" s="178" t="s">
        <v>51</v>
      </c>
      <c r="J122" s="98" t="s">
        <v>51</v>
      </c>
      <c r="K122" s="31" t="s">
        <v>51</v>
      </c>
      <c r="L122" s="31" t="s">
        <v>51</v>
      </c>
      <c r="M122" s="31" t="s">
        <v>51</v>
      </c>
      <c r="N122" s="31" t="s">
        <v>54</v>
      </c>
      <c r="O122" s="177" t="s">
        <v>51</v>
      </c>
      <c r="P122" s="178" t="s">
        <v>51</v>
      </c>
      <c r="Q122" s="120">
        <v>100</v>
      </c>
      <c r="R122" s="87">
        <v>12</v>
      </c>
      <c r="S122" s="87">
        <v>12</v>
      </c>
      <c r="T122" s="250">
        <f t="shared" si="4"/>
        <v>1</v>
      </c>
      <c r="U122" s="269">
        <v>100</v>
      </c>
      <c r="V122" s="258" t="s">
        <v>98</v>
      </c>
      <c r="W122" s="110" t="s">
        <v>51</v>
      </c>
      <c r="X122" s="34" t="s">
        <v>51</v>
      </c>
      <c r="Y122" s="34" t="s">
        <v>51</v>
      </c>
      <c r="Z122" s="160" t="s">
        <v>51</v>
      </c>
      <c r="AA122" s="180" t="s">
        <v>51</v>
      </c>
      <c r="AB122" s="257" t="s">
        <v>51</v>
      </c>
      <c r="AC122" s="30"/>
      <c r="AD122" s="30"/>
      <c r="AE122" s="30"/>
      <c r="AF122" s="30"/>
      <c r="AG122" s="30"/>
      <c r="AH122" s="30"/>
      <c r="AI122" s="30"/>
      <c r="AJ122" s="30"/>
      <c r="AK122" s="30"/>
    </row>
    <row r="123" spans="1:37" s="7" customFormat="1" ht="20.100000000000001" customHeight="1" thickBot="1">
      <c r="A123" s="286"/>
      <c r="B123" s="10" t="s">
        <v>79</v>
      </c>
      <c r="C123" s="38" t="s">
        <v>54</v>
      </c>
      <c r="D123" s="38">
        <f>SUM(D122)</f>
        <v>0</v>
      </c>
      <c r="E123" s="38">
        <f t="shared" ref="E123:F123" si="8">SUM(E122)</f>
        <v>0</v>
      </c>
      <c r="F123" s="38">
        <f t="shared" si="8"/>
        <v>0</v>
      </c>
      <c r="G123" s="161" t="str">
        <f t="shared" si="5"/>
        <v/>
      </c>
      <c r="H123" s="210">
        <f t="shared" ref="H123" si="9">SUM(H122)</f>
        <v>0</v>
      </c>
      <c r="I123" s="211" t="s">
        <v>54</v>
      </c>
      <c r="J123" s="96" t="str">
        <f>IFERROR(F123/C123,"")</f>
        <v/>
      </c>
      <c r="K123" s="38">
        <f>SUM(K122)</f>
        <v>0</v>
      </c>
      <c r="L123" s="38">
        <f t="shared" ref="L123:M123" si="10">SUM(L122)</f>
        <v>0</v>
      </c>
      <c r="M123" s="38">
        <f t="shared" si="10"/>
        <v>0</v>
      </c>
      <c r="N123" s="161" t="str">
        <f t="shared" si="6"/>
        <v/>
      </c>
      <c r="O123" s="210">
        <f t="shared" ref="O123" si="11">SUM(O122)</f>
        <v>0</v>
      </c>
      <c r="P123" s="211" t="s">
        <v>54</v>
      </c>
      <c r="Q123" s="112">
        <f>SUM(Q122)</f>
        <v>100</v>
      </c>
      <c r="R123" s="38">
        <f t="shared" ref="R123:S123" si="12">SUM(R122)</f>
        <v>12</v>
      </c>
      <c r="S123" s="38">
        <f t="shared" si="12"/>
        <v>12</v>
      </c>
      <c r="T123" s="161">
        <f t="shared" si="4"/>
        <v>1</v>
      </c>
      <c r="U123" s="210">
        <f t="shared" ref="U123" si="13">SUM(U122)</f>
        <v>100</v>
      </c>
      <c r="V123" s="211" t="s">
        <v>54</v>
      </c>
      <c r="W123" s="112">
        <f>SUM(W122)</f>
        <v>0</v>
      </c>
      <c r="X123" s="38">
        <f t="shared" ref="X123" si="14">SUM(X122)</f>
        <v>0</v>
      </c>
      <c r="Y123" s="38">
        <f>SUM(Y122)</f>
        <v>0</v>
      </c>
      <c r="Z123" s="161" t="str">
        <f>IFERROR(Y123/X123,"")</f>
        <v/>
      </c>
      <c r="AA123" s="210">
        <f>SUM(AA122)</f>
        <v>0</v>
      </c>
      <c r="AB123" s="211" t="s">
        <v>54</v>
      </c>
    </row>
    <row r="124" spans="1:37" ht="17.25" thickTop="1"/>
  </sheetData>
  <mergeCells count="21">
    <mergeCell ref="A7:B7"/>
    <mergeCell ref="A8:A35"/>
    <mergeCell ref="A36:A50"/>
    <mergeCell ref="A4:A6"/>
    <mergeCell ref="B4:B6"/>
    <mergeCell ref="AB5:AB6"/>
    <mergeCell ref="A51:A59"/>
    <mergeCell ref="A60:A67"/>
    <mergeCell ref="A122:A123"/>
    <mergeCell ref="A82:A91"/>
    <mergeCell ref="A92:A100"/>
    <mergeCell ref="A101:A105"/>
    <mergeCell ref="A106:A112"/>
    <mergeCell ref="A113:A116"/>
    <mergeCell ref="A117:A121"/>
    <mergeCell ref="A68:A81"/>
    <mergeCell ref="C4:C6"/>
    <mergeCell ref="I5:I6"/>
    <mergeCell ref="J5:J6"/>
    <mergeCell ref="P5:P6"/>
    <mergeCell ref="V5:V6"/>
  </mergeCells>
  <phoneticPr fontId="2" type="noConversion"/>
  <printOptions horizontalCentered="1"/>
  <pageMargins left="0.11811023622047245" right="0.11811023622047245" top="0.55118110236220474" bottom="0.55118110236220474" header="0.11811023622047245" footer="0.11811023622047245"/>
  <pageSetup paperSize="9" scale="30" fitToHeight="0" orientation="landscape" r:id="rId1"/>
  <headerFooter>
    <oddFooter>&amp;C&amp;P/&amp;N</oddFooter>
  </headerFooter>
  <rowBreaks count="3" manualBreakCount="3">
    <brk id="35" max="16383" man="1"/>
    <brk id="59" max="19" man="1"/>
    <brk id="91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2024-2학기 학과(전공)별 다중전공 선발 계획</vt:lpstr>
      <vt:lpstr>'2024-2학기 학과(전공)별 다중전공 선발 계획'!Print_Area</vt:lpstr>
      <vt:lpstr>'2024-2학기 학과(전공)별 다중전공 선발 계획'!Print_Titles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inha</dc:creator>
  <cp:lastModifiedBy>inha</cp:lastModifiedBy>
  <dcterms:created xsi:type="dcterms:W3CDTF">2023-02-28T01:36:54Z</dcterms:created>
  <dcterms:modified xsi:type="dcterms:W3CDTF">2024-06-25T10:14:07Z</dcterms:modified>
</cp:coreProperties>
</file>