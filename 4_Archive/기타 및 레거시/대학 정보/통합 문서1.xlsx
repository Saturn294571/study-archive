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hd\Desktop\"/>
    </mc:Choice>
  </mc:AlternateContent>
  <xr:revisionPtr revIDLastSave="0" documentId="8_{78DC94D2-D385-439C-B60E-C34235A9CDC0}" xr6:coauthVersionLast="47" xr6:coauthVersionMax="47" xr10:uidLastSave="{00000000-0000-0000-0000-000000000000}"/>
  <bookViews>
    <workbookView xWindow="-108" yWindow="-108" windowWidth="23256" windowHeight="14016" xr2:uid="{004765EF-D5BF-4425-BFB2-2F38EFCEC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G29" i="1"/>
  <c r="G28" i="1"/>
  <c r="J28" i="1"/>
  <c r="I28" i="1"/>
  <c r="K22" i="1"/>
  <c r="J22" i="1"/>
  <c r="I22" i="1"/>
  <c r="I23" i="1"/>
  <c r="I21" i="1"/>
  <c r="H22" i="1"/>
  <c r="H23" i="1"/>
  <c r="H21" i="1"/>
  <c r="G22" i="1"/>
  <c r="G23" i="1"/>
  <c r="G21" i="1"/>
  <c r="M15" i="1"/>
  <c r="N15" i="1"/>
  <c r="N14" i="1"/>
  <c r="M14" i="1"/>
  <c r="L15" i="1"/>
  <c r="L14" i="1"/>
  <c r="J15" i="1"/>
  <c r="I15" i="1"/>
  <c r="J14" i="1"/>
  <c r="I14" i="1"/>
  <c r="K14" i="1" s="1"/>
  <c r="J13" i="1"/>
  <c r="I13" i="1"/>
  <c r="K13" i="1" s="1"/>
  <c r="J5" i="1"/>
  <c r="I5" i="1"/>
  <c r="H6" i="1"/>
  <c r="G6" i="1"/>
  <c r="K15" i="1" l="1"/>
</calcChain>
</file>

<file path=xl/sharedStrings.xml><?xml version="1.0" encoding="utf-8"?>
<sst xmlns="http://schemas.openxmlformats.org/spreadsheetml/2006/main" count="35" uniqueCount="31">
  <si>
    <t>기준년도</t>
    <phoneticPr fontId="2" type="noConversion"/>
  </si>
  <si>
    <t>비교년도(변화전)</t>
    <phoneticPr fontId="2" type="noConversion"/>
  </si>
  <si>
    <t>비교년도(변화후)</t>
    <phoneticPr fontId="2" type="noConversion"/>
  </si>
  <si>
    <t>가격</t>
    <phoneticPr fontId="2" type="noConversion"/>
  </si>
  <si>
    <t>생산</t>
    <phoneticPr fontId="2" type="noConversion"/>
  </si>
  <si>
    <t>명목</t>
    <phoneticPr fontId="2" type="noConversion"/>
  </si>
  <si>
    <t>실질</t>
    <phoneticPr fontId="2" type="noConversion"/>
  </si>
  <si>
    <t>명목 증가량</t>
    <phoneticPr fontId="2" type="noConversion"/>
  </si>
  <si>
    <t>실질 증가량</t>
    <phoneticPr fontId="2" type="noConversion"/>
  </si>
  <si>
    <t>명목GDP</t>
    <phoneticPr fontId="2" type="noConversion"/>
  </si>
  <si>
    <t>실질GDP</t>
    <phoneticPr fontId="2" type="noConversion"/>
  </si>
  <si>
    <t>연도</t>
    <phoneticPr fontId="2" type="noConversion"/>
  </si>
  <si>
    <t>우유가격</t>
    <phoneticPr fontId="2" type="noConversion"/>
  </si>
  <si>
    <t>우유생산</t>
    <phoneticPr fontId="2" type="noConversion"/>
  </si>
  <si>
    <t>꿀가격</t>
    <phoneticPr fontId="2" type="noConversion"/>
  </si>
  <si>
    <t>꿀생산</t>
    <phoneticPr fontId="2" type="noConversion"/>
  </si>
  <si>
    <t>2013(기준)</t>
    <phoneticPr fontId="2" type="noConversion"/>
  </si>
  <si>
    <t>디플레이터</t>
    <phoneticPr fontId="2" type="noConversion"/>
  </si>
  <si>
    <t>명목 변화율</t>
    <phoneticPr fontId="2" type="noConversion"/>
  </si>
  <si>
    <t>실질 변화율</t>
    <phoneticPr fontId="2" type="noConversion"/>
  </si>
  <si>
    <t>디플레이터 변화율</t>
    <phoneticPr fontId="2" type="noConversion"/>
  </si>
  <si>
    <t>2차</t>
    <phoneticPr fontId="2" type="noConversion"/>
  </si>
  <si>
    <t>1차(기준)</t>
    <phoneticPr fontId="2" type="noConversion"/>
  </si>
  <si>
    <t>산출량</t>
    <phoneticPr fontId="2" type="noConversion"/>
  </si>
  <si>
    <t>3차</t>
    <phoneticPr fontId="2" type="noConversion"/>
  </si>
  <si>
    <t>명목 GDP</t>
    <phoneticPr fontId="2" type="noConversion"/>
  </si>
  <si>
    <t>실질 GDP</t>
    <phoneticPr fontId="2" type="noConversion"/>
  </si>
  <si>
    <t>GDP 디플레이터</t>
    <phoneticPr fontId="2" type="noConversion"/>
  </si>
  <si>
    <t>실질 GDP 성장률</t>
    <phoneticPr fontId="2" type="noConversion"/>
  </si>
  <si>
    <t>인플레이션률</t>
    <phoneticPr fontId="2" type="noConversion"/>
  </si>
  <si>
    <t>GDP디플레이터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</si>
</sst>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6" fontId="0" fillId="0" borderId="0" xfId="0" applyNumberFormat="1">
      <alignment vertical="center"/>
    </xf>
    <xf numFmtId="9" fontId="0" fillId="0" borderId="0" xfId="1" applyFont="1" applyAlignment="1">
      <alignment horizontal="center" vertical="center"/>
    </xf>
    <xf numFmtId="9" fontId="0" fillId="0" borderId="0" xfId="1" applyFont="1">
      <alignment vertical="center"/>
    </xf>
    <xf numFmtId="0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81DC-BCE4-4BE8-B689-88CC82D40915}">
  <dimension ref="D3:N31"/>
  <sheetViews>
    <sheetView tabSelected="1" topLeftCell="A19" workbookViewId="0">
      <selection activeCell="D33" sqref="D33"/>
    </sheetView>
  </sheetViews>
  <sheetFormatPr defaultRowHeight="17.399999999999999" x14ac:dyDescent="0.4"/>
  <cols>
    <col min="4" max="4" width="15.3984375" bestFit="1" customWidth="1"/>
    <col min="5" max="5" width="8.59765625" bestFit="1" customWidth="1"/>
    <col min="6" max="6" width="14.3984375" bestFit="1" customWidth="1"/>
    <col min="7" max="7" width="9.19921875" bestFit="1" customWidth="1"/>
    <col min="9" max="9" width="15" bestFit="1" customWidth="1"/>
    <col min="10" max="10" width="15.69921875" bestFit="1" customWidth="1"/>
    <col min="11" max="11" width="12.3984375" bestFit="1" customWidth="1"/>
    <col min="12" max="13" width="11.09765625" bestFit="1" customWidth="1"/>
    <col min="14" max="14" width="17" bestFit="1" customWidth="1"/>
  </cols>
  <sheetData>
    <row r="3" spans="4:14" x14ac:dyDescent="0.4">
      <c r="E3" t="s">
        <v>3</v>
      </c>
      <c r="F3" t="s">
        <v>4</v>
      </c>
      <c r="G3" t="s">
        <v>9</v>
      </c>
      <c r="H3" t="s">
        <v>10</v>
      </c>
    </row>
    <row r="4" spans="4:14" x14ac:dyDescent="0.4">
      <c r="D4" t="s">
        <v>0</v>
      </c>
      <c r="E4" s="1">
        <v>100</v>
      </c>
      <c r="F4">
        <v>10</v>
      </c>
      <c r="G4" s="1">
        <v>1000</v>
      </c>
      <c r="H4" s="1">
        <v>1000</v>
      </c>
      <c r="I4" t="s">
        <v>7</v>
      </c>
      <c r="J4" t="s">
        <v>8</v>
      </c>
    </row>
    <row r="5" spans="4:14" x14ac:dyDescent="0.4">
      <c r="D5" t="s">
        <v>1</v>
      </c>
      <c r="E5" s="1">
        <v>200</v>
      </c>
      <c r="F5">
        <v>30</v>
      </c>
      <c r="G5" s="1">
        <v>6000</v>
      </c>
      <c r="H5" s="1">
        <v>3000</v>
      </c>
      <c r="I5" s="2">
        <f>(G6-G5)/G5</f>
        <v>-0.01</v>
      </c>
      <c r="J5" s="2">
        <f>(H6-H5)/H5</f>
        <v>0.1</v>
      </c>
    </row>
    <row r="6" spans="4:14" x14ac:dyDescent="0.4">
      <c r="D6" t="s">
        <v>2</v>
      </c>
      <c r="E6" s="1">
        <v>180</v>
      </c>
      <c r="F6">
        <v>33</v>
      </c>
      <c r="G6" s="1">
        <f>E6*F6</f>
        <v>5940</v>
      </c>
      <c r="H6" s="1">
        <f>E4*F6</f>
        <v>3300</v>
      </c>
      <c r="I6" s="2"/>
      <c r="J6" s="2"/>
    </row>
    <row r="12" spans="4:14" x14ac:dyDescent="0.4"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5</v>
      </c>
      <c r="J12" t="s">
        <v>6</v>
      </c>
      <c r="K12" t="s">
        <v>17</v>
      </c>
      <c r="L12" t="s">
        <v>18</v>
      </c>
      <c r="M12" t="s">
        <v>19</v>
      </c>
      <c r="N12" t="s">
        <v>20</v>
      </c>
    </row>
    <row r="13" spans="4:14" x14ac:dyDescent="0.4">
      <c r="D13" t="s">
        <v>16</v>
      </c>
      <c r="E13">
        <v>1</v>
      </c>
      <c r="F13">
        <v>100</v>
      </c>
      <c r="G13">
        <v>2</v>
      </c>
      <c r="H13">
        <v>50</v>
      </c>
      <c r="I13">
        <f>E13*F13+G13*H13</f>
        <v>200</v>
      </c>
      <c r="J13">
        <f>$E$13*F13+$G$13*H13</f>
        <v>200</v>
      </c>
      <c r="K13">
        <f>I13/J13*100</f>
        <v>100</v>
      </c>
      <c r="L13" s="3"/>
      <c r="M13" s="3"/>
      <c r="N13" s="3"/>
    </row>
    <row r="14" spans="4:14" x14ac:dyDescent="0.4">
      <c r="D14">
        <v>2014</v>
      </c>
      <c r="E14">
        <v>1</v>
      </c>
      <c r="F14">
        <v>200</v>
      </c>
      <c r="G14">
        <v>2</v>
      </c>
      <c r="H14">
        <v>100</v>
      </c>
      <c r="I14">
        <f>E14*F14+G14*H14</f>
        <v>400</v>
      </c>
      <c r="J14">
        <f>$E$13*F14+$G$13*H14</f>
        <v>400</v>
      </c>
      <c r="K14">
        <f>I14/J14*100</f>
        <v>100</v>
      </c>
      <c r="L14" s="3">
        <f>(I14-I13)/I13</f>
        <v>1</v>
      </c>
      <c r="M14" s="3">
        <f>(J14-J13)/J13</f>
        <v>1</v>
      </c>
      <c r="N14" s="3">
        <f>(K14-K13)/K13</f>
        <v>0</v>
      </c>
    </row>
    <row r="15" spans="4:14" x14ac:dyDescent="0.4">
      <c r="D15">
        <v>2015</v>
      </c>
      <c r="E15">
        <v>2</v>
      </c>
      <c r="F15">
        <v>200</v>
      </c>
      <c r="G15">
        <v>4</v>
      </c>
      <c r="H15">
        <v>100</v>
      </c>
      <c r="I15">
        <f>E15*F15+G15*H15</f>
        <v>800</v>
      </c>
      <c r="J15">
        <f>$E$13*F15+$G$13*H15</f>
        <v>400</v>
      </c>
      <c r="K15">
        <f>I15/J15*100</f>
        <v>200</v>
      </c>
      <c r="L15" s="3">
        <f>(I15-I14)/I14</f>
        <v>1</v>
      </c>
      <c r="M15" s="3">
        <f>(J15-J14)/J14</f>
        <v>0</v>
      </c>
      <c r="N15" s="3">
        <f>(K15-K14)/K14</f>
        <v>1</v>
      </c>
    </row>
    <row r="19" spans="4:14" x14ac:dyDescent="0.4">
      <c r="L19" s="3"/>
      <c r="M19" s="3"/>
      <c r="N19" s="3"/>
    </row>
    <row r="20" spans="4:14" x14ac:dyDescent="0.4">
      <c r="D20" t="s">
        <v>11</v>
      </c>
      <c r="E20" t="s">
        <v>3</v>
      </c>
      <c r="F20" t="s">
        <v>23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s="3"/>
      <c r="M20" s="3"/>
      <c r="N20" s="3"/>
    </row>
    <row r="21" spans="4:14" x14ac:dyDescent="0.4">
      <c r="D21" t="s">
        <v>22</v>
      </c>
      <c r="E21">
        <v>4</v>
      </c>
      <c r="F21">
        <v>3</v>
      </c>
      <c r="G21">
        <f>E21*F21</f>
        <v>12</v>
      </c>
      <c r="H21">
        <f>$E$21*F21</f>
        <v>12</v>
      </c>
      <c r="I21">
        <f>G21/H21*100</f>
        <v>100</v>
      </c>
      <c r="L21" s="3"/>
      <c r="M21" s="3"/>
      <c r="N21" s="3"/>
    </row>
    <row r="22" spans="4:14" x14ac:dyDescent="0.4">
      <c r="D22" t="s">
        <v>21</v>
      </c>
      <c r="E22">
        <v>5</v>
      </c>
      <c r="F22">
        <v>4</v>
      </c>
      <c r="G22">
        <f t="shared" ref="G22:G23" si="0">E22*F22</f>
        <v>20</v>
      </c>
      <c r="H22">
        <f t="shared" ref="H22:H23" si="1">$E$21*F22</f>
        <v>16</v>
      </c>
      <c r="I22">
        <f t="shared" ref="I22:I23" si="2">G22/H22*100</f>
        <v>125</v>
      </c>
      <c r="J22" s="2">
        <f>(H23-H22)/H22</f>
        <v>0.25</v>
      </c>
      <c r="K22" s="2">
        <f>(I23-I22)/I22</f>
        <v>0.2</v>
      </c>
    </row>
    <row r="23" spans="4:14" x14ac:dyDescent="0.4">
      <c r="D23" t="s">
        <v>24</v>
      </c>
      <c r="E23">
        <v>6</v>
      </c>
      <c r="F23">
        <v>5</v>
      </c>
      <c r="G23">
        <f t="shared" si="0"/>
        <v>30</v>
      </c>
      <c r="H23">
        <f t="shared" si="1"/>
        <v>20</v>
      </c>
      <c r="I23">
        <f t="shared" si="2"/>
        <v>150</v>
      </c>
      <c r="J23" s="2"/>
      <c r="K23" s="2"/>
    </row>
    <row r="27" spans="4:14" x14ac:dyDescent="0.4">
      <c r="D27" t="s">
        <v>11</v>
      </c>
      <c r="E27" t="s">
        <v>9</v>
      </c>
      <c r="F27" t="s">
        <v>30</v>
      </c>
    </row>
    <row r="28" spans="4:14" x14ac:dyDescent="0.4">
      <c r="D28">
        <v>2012</v>
      </c>
      <c r="E28">
        <v>15676</v>
      </c>
      <c r="F28">
        <v>115.4</v>
      </c>
      <c r="G28" s="4">
        <f>E28/F28*100</f>
        <v>13584.055459272096</v>
      </c>
      <c r="I28">
        <f>(((E28/E29)^(1/10))-1)*100</f>
        <v>3.949211656624918</v>
      </c>
      <c r="J28">
        <f>(((F28/F29)^(1/10))-1)*100</f>
        <v>2.2698193423844604</v>
      </c>
      <c r="K28">
        <f>(((G28/G29)^(1/10))-1)*100</f>
        <v>1.6421191755684017</v>
      </c>
    </row>
    <row r="29" spans="4:14" x14ac:dyDescent="0.4">
      <c r="D29">
        <v>2002</v>
      </c>
      <c r="E29">
        <v>10642</v>
      </c>
      <c r="F29">
        <v>92.2</v>
      </c>
      <c r="G29" s="4">
        <f>E29/F29*100</f>
        <v>11542.29934924078</v>
      </c>
    </row>
    <row r="31" spans="4:14" x14ac:dyDescent="0.4">
      <c r="I31" s="4"/>
    </row>
  </sheetData>
  <mergeCells count="4">
    <mergeCell ref="J22:J23"/>
    <mergeCell ref="K22:K23"/>
    <mergeCell ref="I5:I6"/>
    <mergeCell ref="J5:J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ju No</dc:creator>
  <cp:lastModifiedBy>Dong ju No</cp:lastModifiedBy>
  <dcterms:created xsi:type="dcterms:W3CDTF">2021-09-27T13:14:51Z</dcterms:created>
  <dcterms:modified xsi:type="dcterms:W3CDTF">2021-09-27T15:52:38Z</dcterms:modified>
</cp:coreProperties>
</file>